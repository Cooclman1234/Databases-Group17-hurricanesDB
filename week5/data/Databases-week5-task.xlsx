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66925"/>
  <mc:AlternateContent xmlns:mc="http://schemas.openxmlformats.org/markup-compatibility/2006">
    <mc:Choice Requires="x15">
      <x15ac:absPath xmlns:x15ac="http://schemas.microsoft.com/office/spreadsheetml/2010/11/ac" url="/Volumes/My-Disk/Uni/databases/week3/createSchema/Databases-Group17-hurricanesDB/week5/data/"/>
    </mc:Choice>
  </mc:AlternateContent>
  <xr:revisionPtr revIDLastSave="0" documentId="8_{11737E0C-F3D1-084D-A8F6-507285105567}" xr6:coauthVersionLast="47" xr6:coauthVersionMax="47" xr10:uidLastSave="{00000000-0000-0000-0000-000000000000}"/>
  <bookViews>
    <workbookView xWindow="0" yWindow="780" windowWidth="34200" windowHeight="21460" activeTab="2" xr2:uid="{00000000-000D-0000-FFFF-FFFF00000000}"/>
  </bookViews>
  <sheets>
    <sheet name="Introduction" sheetId="1" r:id="rId1"/>
    <sheet name="hurricane_entity" sheetId="2" r:id="rId2"/>
    <sheet name="meteorological_data" sheetId="3" r:id="rId3"/>
    <sheet name="destruction_entity" sheetId="4" r:id="rId4"/>
    <sheet name="location_entity" sheetId="5" r:id="rId5"/>
    <sheet name="best_track_ref" sheetId="6" state="hidden" r:id="rId6"/>
    <sheet name="best_track_ref_Ian" sheetId="7" state="hidden" r:id="rId7"/>
    <sheet name="jamaica_parish_damage_ref" sheetId="8"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7" i="4" l="1"/>
  <c r="F18" i="4"/>
  <c r="F19" i="4"/>
  <c r="F20" i="4"/>
  <c r="F21" i="4"/>
  <c r="F22" i="4"/>
  <c r="F23" i="4"/>
  <c r="F24" i="4"/>
  <c r="F25" i="4"/>
  <c r="F26" i="4"/>
  <c r="F27" i="4"/>
  <c r="F28" i="4"/>
  <c r="F29" i="4"/>
  <c r="E17" i="4"/>
  <c r="E18" i="4"/>
  <c r="E19" i="4"/>
  <c r="E20" i="4"/>
  <c r="E21" i="4"/>
  <c r="E22" i="4"/>
  <c r="E23" i="4"/>
  <c r="E24" i="4"/>
  <c r="E25" i="4"/>
  <c r="E26" i="4"/>
  <c r="E27" i="4"/>
  <c r="E28" i="4"/>
  <c r="E29" i="4"/>
  <c r="B20" i="8"/>
  <c r="C20" i="8"/>
  <c r="D20" i="8"/>
  <c r="E20" i="8"/>
  <c r="F20" i="8"/>
  <c r="F41" i="3"/>
  <c r="F42" i="3"/>
  <c r="F43" i="3"/>
  <c r="F44" i="3"/>
  <c r="F45" i="3"/>
  <c r="G53" i="3"/>
  <c r="G54" i="3"/>
  <c r="G55" i="3"/>
  <c r="G14" i="3"/>
  <c r="G16" i="3"/>
  <c r="G17" i="3"/>
  <c r="G18" i="3"/>
  <c r="G19" i="3"/>
  <c r="G20" i="3"/>
  <c r="G23" i="3"/>
  <c r="G24" i="3"/>
  <c r="G25" i="3"/>
  <c r="G26" i="3"/>
  <c r="G27" i="3"/>
  <c r="F6" i="3"/>
  <c r="F7" i="3"/>
  <c r="F8" i="3"/>
</calcChain>
</file>

<file path=xl/sharedStrings.xml><?xml version="1.0" encoding="utf-8"?>
<sst xmlns="http://schemas.openxmlformats.org/spreadsheetml/2006/main" count="669" uniqueCount="419">
  <si>
    <t>Hurricane Impact Database — ERD Overview</t>
  </si>
  <si>
    <t>A four-entity relational design for hurricane events, weather observations, locations, and recorded impacts.</t>
  </si>
  <si>
    <t>Relationship Map</t>
  </si>
  <si>
    <t>Source Entity</t>
  </si>
  <si>
    <t>Relationship</t>
  </si>
  <si>
    <t>Target Entity</t>
  </si>
  <si>
    <t>Cardinality</t>
  </si>
  <si>
    <t>Foreign Key</t>
  </si>
  <si>
    <t>Required</t>
  </si>
  <si>
    <t>Hurricane</t>
  </si>
  <si>
    <t>has observations</t>
  </si>
  <si>
    <t>Meteorological Data</t>
  </si>
  <si>
    <t>1 to 0..*</t>
  </si>
  <si>
    <t>meteorological_data.hurricane_id</t>
  </si>
  <si>
    <t>Yes</t>
  </si>
  <si>
    <t>Location</t>
  </si>
  <si>
    <t>measured at</t>
  </si>
  <si>
    <t>meteorological_data.location_id</t>
  </si>
  <si>
    <t>records destruction</t>
  </si>
  <si>
    <t>Destruction</t>
  </si>
  <si>
    <t>destruction_entity.MD_ID</t>
  </si>
  <si>
    <t>Entity</t>
  </si>
  <si>
    <t>Worksheet</t>
  </si>
  <si>
    <t>Primary Key</t>
  </si>
  <si>
    <t>Attributes</t>
  </si>
  <si>
    <t>Role</t>
  </si>
  <si>
    <t>Data entry</t>
  </si>
  <si>
    <t>hurricane_entity</t>
  </si>
  <si>
    <t>hurricane_ID</t>
  </si>
  <si>
    <t>Parent event</t>
  </si>
  <si>
    <t>One row per hurricane</t>
  </si>
  <si>
    <t>meteorological_data</t>
  </si>
  <si>
    <t>MD_ID</t>
  </si>
  <si>
    <t>Observation bridge</t>
  </si>
  <si>
    <t>One row per location/time observation</t>
  </si>
  <si>
    <t>destruction_entity</t>
  </si>
  <si>
    <t>destruction_ID</t>
  </si>
  <si>
    <t>Impact outcome</t>
  </si>
  <si>
    <t>One row per impact record</t>
  </si>
  <si>
    <t>location_entity</t>
  </si>
  <si>
    <t>location_id</t>
  </si>
  <si>
    <t>Spatial reference</t>
  </si>
  <si>
    <t>One row per unique location</t>
  </si>
  <si>
    <t>How to use</t>
  </si>
  <si>
    <t>Enter records below the attribute headers on each entity sheet. Populate parent records first, then use their IDs in the related foreign-key columns.</t>
  </si>
  <si>
    <t>Hurricane Entity</t>
  </si>
  <si>
    <t>Stores each hurricane event and its active time window.</t>
  </si>
  <si>
    <t>Primary key: hurricane_ID • Parent of meteorological_data through hurricane_id</t>
  </si>
  <si>
    <t>name</t>
  </si>
  <si>
    <t>start_datetime</t>
  </si>
  <si>
    <t>end_datetime</t>
  </si>
  <si>
    <t>source</t>
  </si>
  <si>
    <t>Melissa</t>
  </si>
  <si>
    <t>Ian</t>
  </si>
  <si>
    <t>Meteorological Data Entity</t>
  </si>
  <si>
    <t>Stores weather observations for a hurricane at a specific location and time window.</t>
  </si>
  <si>
    <t>Primary key: MD_ID • Foreign keys: hurricane_id → Hurricane, location_id → Location</t>
  </si>
  <si>
    <t>hurricane_id</t>
  </si>
  <si>
    <t>avg_wind_speed</t>
  </si>
  <si>
    <t>total_rainfall</t>
  </si>
  <si>
    <t>avg_temperature</t>
  </si>
  <si>
    <t>Destruction Entity</t>
  </si>
  <si>
    <t>Stores human and financial impacts associated with a meteorological observation.</t>
  </si>
  <si>
    <t>Primary key: destruction_ID • Foreign key: MD_ID → Meteorological Data</t>
  </si>
  <si>
    <t>deaths_direct</t>
  </si>
  <si>
    <t>deaths_indirect</t>
  </si>
  <si>
    <t>infrastructure_damage_usd</t>
  </si>
  <si>
    <t>economic_damage_overall_usd</t>
  </si>
  <si>
    <t>Location Entity</t>
  </si>
  <si>
    <t>Stores the geographic reference used by meteorological observations.</t>
  </si>
  <si>
    <t>Primary key: location_id • Referenced by meteorological_data through location_id</t>
  </si>
  <si>
    <t>region</t>
  </si>
  <si>
    <t>country</t>
  </si>
  <si>
    <t>latitude</t>
  </si>
  <si>
    <t>longitude</t>
  </si>
  <si>
    <t>Best Track Reference — Hurricane Melissa (AL132025)</t>
  </si>
  <si>
    <t>Helper table used by meteorological_data.avg_wind_speed (AVERAGEIFS over the observation window). Hurricane ID = 0.</t>
  </si>
  <si>
    <t>Source: NHC Tropical Cyclone Report: Hurricane Melissa (AL132025), https://www.nhc.noaa.gov/data/tcr/AL132025_Melissa.pdf — Table 1 'Best track for Hurricane Melissa', PDF pages 21–22.</t>
  </si>
  <si>
    <t>datetime_utc</t>
  </si>
  <si>
    <t>latitude_n</t>
  </si>
  <si>
    <t>pressure_mb</t>
  </si>
  <si>
    <t>wind_kt</t>
  </si>
  <si>
    <t>stage</t>
  </si>
  <si>
    <t>tropical storm</t>
  </si>
  <si>
    <t>hurricane</t>
  </si>
  <si>
    <t>extratropical</t>
  </si>
  <si>
    <t>Westmoreland Parish, western Jamaica (landfall near New Hope)</t>
  </si>
  <si>
    <t>Jamaica</t>
  </si>
  <si>
    <t>NHC Tropical Cyclone Report: Hurricane Melissa (AL132025), 19 May 2026 revised version, https://www.nhc.noaa.gov/data/tcr/AL132025_Melissa.pdf — landfall position (Table 1, PDF p.22; text p.4, p.6). Longitude negative = °W. Region/parish: p.6.</t>
  </si>
  <si>
    <t>Santiago de Cuba Province, eastern Cuba (landfall near Chivirico)</t>
  </si>
  <si>
    <t>Cuba</t>
  </si>
  <si>
    <t>NHC Tropical Cyclone Report: Hurricane Melissa (AL132025), 19 May 2026 revised version, https://www.nhc.noaa.gov/data/tcr/AL132025_Melissa.pdf — landfall position (Table 1, PDF p.22; text p.4, p.7). Longitude negative = °W.</t>
  </si>
  <si>
    <t>Long Island, southeastern Bahamas (first landfall near Buckley's Settlement)</t>
  </si>
  <si>
    <t>Bahamas</t>
  </si>
  <si>
    <t>NHC Tropical Cyclone Report: Hurricane Melissa (AL132025), 19 May 2026 revised version, https://www.nhc.noaa.gov/data/tcr/AL132025_Melissa.pdf — landfall position (Table 1, PDF p.22; text p.4, p.8). Longitude negative = °W.</t>
  </si>
  <si>
    <t>Southern peninsula (Sud Department), Haiti</t>
  </si>
  <si>
    <t>Haiti</t>
  </si>
  <si>
    <t>NHC Tropical Cyclone Report: Hurricane Melissa (AL132025), 19 May 2026 revised version, https://www.nhc.noaa.gov/data/tcr/AL132025_Melissa.pdf — region from rainfall section, PDF p.10. Report gives no coordinates for Haiti (no landfall), so latitude/longitude left blank.</t>
  </si>
  <si>
    <t>NHC Tropical Cyclone Report: Hurricane Melissa (AL132025), 19 May 2026 revised version, https://www.nhc.noaa.gov/data/tcr/AL132025_Melissa.pdf — start: formation of Tropical Storm Melissa 0600 UTC 21 Oct 2025 (PDF p.3; Table 1, p.21). End: 'dissipated' 1200 UTC 1 Nov 2025 (Table 1, PDF p.22; text p.5). Becomes extratropical 1200 UTC 31 Oct (p.5).</t>
  </si>
  <si>
    <t>NHC Tropical Cyclone Report: Hurricane Melissa (AL132025), 19 May 2026 revised version, https://www.nhc.noaa.gov/data/tcr/AL132025_Melissa.pdf — Window: peak intensity 1200 UTC 28 Oct (p.4, p.6) to emergence off Jamaica's north coast ~2100 UTC 28 Oct (p.4). avg_wind_speed (kt, 1-min sustained) = average of best-track winds in window, from best_track_ref (Table 1, PDF p.21–22). total_rainfall (mm) = highest storm total, Knock Patrick, Manchester Parish, 32.17 in / 817.1 mm (p.10). avg_temperature: not reported.</t>
  </si>
  <si>
    <t>NHC Tropical Cyclone Report: Hurricane Melissa (AL132025), 19 May 2026 revised version, https://www.nhc.noaa.gov/data/tcr/AL132025_Melissa.pdf — Window: landfall 0720 UTC 29 Oct to emergence off north coast ~1300 UTC 29 Oct (p.4). avg_wind_speed (kt) = average of best-track winds in window (Table 1, PDF p.22). total_rainfall (mm) = highest storm total, Vega Murcia, 26.38 in / 670 mm (p.10). avg_temperature: not reported.</t>
  </si>
  <si>
    <t>NHC Tropical Cyclone Report: Hurricane Melissa (AL132025), 19 May 2026 revised version, https://www.nhc.noaa.gov/data/tcr/AL132025_Melissa.pdf — Window: landfall Long Island 2215 UTC 29 Oct to landfall San Salvador 0200 UTC 30 Oct (p.4, p.8). avg_wind_speed (kt) = average of best-track winds in window (Table 1, PDF p.22). total_rainfall (mm) = highest reported, Cockburn Town, 7.78 in / 198 mm (p.11). avg_temperature: not reported.</t>
  </si>
  <si>
    <t>NHC Tropical Cyclone Report: Hurricane Melissa (AL132025), 19 May 2026 revised version, https://www.nhc.noaa.gov/data/tcr/AL132025_Melissa.pdf — total_rainfall (mm) = highest storm total, Camp Perrin (Sud Dept), 36.77 in / 934 mm (p.10). Observation window and wind speed not given for Haiti (no landfall) so left blank. avg_temperature: not reported.</t>
  </si>
  <si>
    <t>NHC Tropical Cyclone Report: Hurricane Melissa (AL132025), 19 May 2026 revised version, https://www.nhc.noaa.gov/data/tcr/AL132025_Melissa.pdf — Cuba: government assessment reported no fatalities attributed to Melissa (PDF p.14), recorded as 0 direct / 0 indirect. No USD damage estimate given (only counts, e.g. 900,000+ homes damaged/destroyed, p.14).</t>
  </si>
  <si>
    <t>NHC Tropical Cyclone Report: Hurricane Melissa (AL132025), 19 May 2026 revised version, https://www.nhc.noaa.gov/data/tcr/AL132025_Melissa.pdf — Haiti: at least 43 deaths, 25 in Petit-Goave (PDF p.12 table; p.13); cause breakdown not known so direct/indirect left blank. No USD damage estimate given.</t>
  </si>
  <si>
    <t>New Hope Primary School, Westmoreland Parish</t>
  </si>
  <si>
    <t>NHC Tropical Cyclone Report: Hurricane Melissa (AL132025), 19 May 2026 revised version, https://www.nhc.noaa.gov/data/tcr/AL132025_Melissa.pdf — Table 3, PDF p.27 (station, coordinates, sustained 47 kt, gust 114 kt at 1600 UTC 28 Oct, min pressure 913.5 mb). Longitude negative = °W.</t>
  </si>
  <si>
    <t>Hampden, Trelawny Parish</t>
  </si>
  <si>
    <t>NHC Tropical Cyclone Report: Hurricane Melissa (AL132025), 19 May 2026 revised version, https://www.nhc.noaa.gov/data/tcr/AL132025_Melissa.pdf — Table 3, PDF p.27 (sustained 57 kt, gust 105 kt, min pressure 958 mb). Longitude negative = °W.</t>
  </si>
  <si>
    <t>Bamboo, St. Ann Parish</t>
  </si>
  <si>
    <t>NHC Tropical Cyclone Report: Hurricane Melissa (AL132025), 19 May 2026 revised version, https://www.nhc.noaa.gov/data/tcr/AL132025_Melissa.pdf — Table 3, PDF p.26 (sustained 45 kt, gust 90 kt, min pressure 972.5 mb). Longitude negative = °W.</t>
  </si>
  <si>
    <t>Appleton Estate, St. Elizabeth Parish</t>
  </si>
  <si>
    <t>NHC Tropical Cyclone Report: Hurricane Melissa (AL132025), 19 May 2026 revised version, https://www.nhc.noaa.gov/data/tcr/AL132025_Melissa.pdf — Table 3, PDF p.26 (sustained 40 kt, gust 96 kt, min pressure 964.6 mb). Longitude negative = °W.</t>
  </si>
  <si>
    <t>Mountainside Primary School, Westmoreland Parish</t>
  </si>
  <si>
    <t>NHC Tropical Cyclone Report: Hurricane Melissa (AL132025), 19 May 2026 revised version, https://www.nhc.noaa.gov/data/tcr/AL132025_Melissa.pdf — Table 3, PDF p.27 (sustained 56 kt, gust 90 kt, min pressure 974.8 mb, rain 20.01 in). Longitude negative = °W.</t>
  </si>
  <si>
    <t>Newcombe Valley Primary School, Westmoreland Parish</t>
  </si>
  <si>
    <t>NHC Tropical Cyclone Report: Hurricane Melissa (AL132025), 19 May 2026 revised version, https://www.nhc.noaa.gov/data/tcr/AL132025_Melissa.pdf — Table 3, PDF p.27 (sustained 54 kt, gust 93 kt, min pressure 972.5 mb). Longitude negative = °W.</t>
  </si>
  <si>
    <t>Orange Valley, Trelawny Parish</t>
  </si>
  <si>
    <t>NHC Tropical Cyclone Report: Hurricane Melissa (AL132025), 19 May 2026 revised version, https://www.nhc.noaa.gov/data/tcr/AL132025_Melissa.pdf — Table 3, PDF p.27 (sustained 44 kt, gust 88 kt, min pressure 960.2 mb, rain 9.29 in). Longitude negative = °W.</t>
  </si>
  <si>
    <t>Minards, St. Ann Parish</t>
  </si>
  <si>
    <t>NHC Tropical Cyclone Report: Hurricane Melissa (AL132025), 19 May 2026 revised version, https://www.nhc.noaa.gov/data/tcr/AL132025_Melissa.pdf — Table 3, PDF p.26 (sustained 44 kt, gust 85 kt, min pressure 965.9 mb, rain 10.66 in). Longitude negative = °W.</t>
  </si>
  <si>
    <t>Mason River, Clarendon Parish</t>
  </si>
  <si>
    <t>NHC Tropical Cyclone Report: Hurricane Melissa (AL132025), 19 May 2026 revised version, https://www.nhc.noaa.gov/data/tcr/AL132025_Melissa.pdf — Table 3, PDF p.24 (sustained 25 kt, gust 68 kt, min pressure 984.1 mb, rain 13.16 in). Longitude negative = °W.</t>
  </si>
  <si>
    <t>Woodford, Kingston &amp; St. Andrew Parish</t>
  </si>
  <si>
    <t>NHC Tropical Cyclone Report: Hurricane Melissa (AL132025), 19 May 2026 revised version, https://www.nhc.noaa.gov/data/tcr/AL132025_Melissa.pdf — Table 3, PDF p.25 (sustained 37 kt, gust 69 kt, min pressure 993.7 mb, rain 7.35 in). Longitude negative = °W.</t>
  </si>
  <si>
    <t>Mavis Bank, Kingston &amp; St. Andrew Parish</t>
  </si>
  <si>
    <t>NHC Tropical Cyclone Report: Hurricane Melissa (AL132025), 19 May 2026 revised version, https://www.nhc.noaa.gov/data/tcr/AL132025_Melissa.pdf — Table 3, PDF p.25 (sustained 10 kt, gust 37 kt, min pressure 993.6 mb, rain 22.32 in). Longitude negative = °W.</t>
  </si>
  <si>
    <t>Sangster International Airport, Montego Bay (MKJS)</t>
  </si>
  <si>
    <t>NHC Tropical Cyclone Report: Hurricane Melissa (AL132025), 19 May 2026 revised version, https://www.nhc.noaa.gov/data/tcr/AL132025_Melissa.pdf — Table 3, PDF p.24 (ICAO site; sustained 40 kt, gust 56 kt, min pressure 998.0 mb; no data after 1000 UTC 28 Oct). Longitude negative = °W.</t>
  </si>
  <si>
    <t>Norman Manley International Airport, Kingston (MKJP)</t>
  </si>
  <si>
    <t>NHC Tropical Cyclone Report: Hurricane Melissa (AL132025), 19 May 2026 revised version, https://www.nhc.noaa.gov/data/tcr/AL132025_Melissa.pdf — Table 3, PDF p.24 (ICAO site; sustained 41 kt, gust 50 kt, min pressure 995.9 mb). Longitude negative = °W.</t>
  </si>
  <si>
    <t>Contramaestre (78363), Santiago de Cuba Province</t>
  </si>
  <si>
    <t>NHC Tropical Cyclone Report: Hurricane Melissa (AL132025), 19 May 2026 revised version, https://www.nhc.noaa.gov/data/tcr/AL132025_Melissa.pdf — Table 3, PDF p.28 (INSMET station; sustained 59 kt (10-min), gust 101 kt, min pressure 967.7 mb, rain 14.71 in); eye passed over 0845–0856 UTC 29 Oct (text p.8). Longitude negative = °W.</t>
  </si>
  <si>
    <t>Gran Piedra (78366), Santiago de Cuba Province</t>
  </si>
  <si>
    <t>NHC Tropical Cyclone Report: Hurricane Melissa (AL132025), 19 May 2026 revised version, https://www.nhc.noaa.gov/data/tcr/AL132025_Melissa.pdf — Table 3, PDF p.28 (INSMET elevated station; sustained 70 kt (10-min), gust 118 kt, rain 13.20 in); highest sustained wind and gust in Cuba (text p.8). Longitude negative = °W.</t>
  </si>
  <si>
    <t>Leeward Point Field, Guantanamo Bay (MUGM)</t>
  </si>
  <si>
    <t>NHC Tropical Cyclone Report: Hurricane Melissa (AL132025), 19 May 2026 revised version, https://www.nhc.noaa.gov/data/tcr/AL132025_Melissa.pdf — Table 3, PDF p.28 (ICAO site; sustained 51 kt, gust 65 kt, min pressure 996.5 mb, rain 6.50 in; data gap 0751–2151 UTC 29 Oct). Longitude negative = °W.</t>
  </si>
  <si>
    <t>Guaro (78370), Holguin Province</t>
  </si>
  <si>
    <t>NHC Tropical Cyclone Report: Hurricane Melissa (AL132025), 19 May 2026 revised version, https://www.nhc.noaa.gov/data/tcr/AL132025_Melissa.pdf — Table 3, PDF p.29 (INSMET station; sustained 62 kt (10-min), gust 68 kt, min pressure 983.4 mb, rain 10.84 in). Longitude negative = °W.</t>
  </si>
  <si>
    <t>Jucarito (78361), Granma Province</t>
  </si>
  <si>
    <t>NHC Tropical Cyclone Report: Hurricane Melissa (AL132025), 19 May 2026 revised version, https://www.nhc.noaa.gov/data/tcr/AL132025_Melissa.pdf — Table 3, PDF p.29 (INSMET station; sustained 47 kt (10-min), gust 68 kt, min pressure 999.0 mb, rain 4.04 in). Longitude negative = °W.</t>
  </si>
  <si>
    <t>Sea Horse Shores #83, Pitts Town, Crooked Island</t>
  </si>
  <si>
    <t>NHC Tropical Cyclone Report: Hurricane Melissa (AL132025), 19 May 2026 revised version, https://www.nhc.noaa.gov/data/tcr/AL132025_Melissa.pdf — Table 3, PDF p.32 (sustained 66 kt, gust 77 kt, min pressure 980.7 mb); strongest winds recorded in the Bahamas (text p.8). Longitude negative = °W.</t>
  </si>
  <si>
    <t>Indian Hole Point, Long Island</t>
  </si>
  <si>
    <t>NHC Tropical Cyclone Report: Hurricane Melissa (AL132025), 19 May 2026 revised version, https://www.nhc.noaa.gov/data/tcr/AL132025_Melissa.pdf — Table 3, PDF p.32 (sustained 45 kt, gust 61 kt, min pressure 968.8 mb). Longitude negative = °W.</t>
  </si>
  <si>
    <t>Buckley's Settlement, Long Island</t>
  </si>
  <si>
    <t>NHC Tropical Cyclone Report: Hurricane Melissa (AL132025), 19 May 2026 revised version, https://www.nhc.noaa.gov/data/tcr/AL132025_Melissa.pdf — Table 3, PDF p.32 (sustained 35 kt, gust 44 kt, min pressure 966.5 mb; Weather Underground site with ~6 mb low bias, text p.8). Longitude negative = °W.</t>
  </si>
  <si>
    <t>Cockburn Town, San Salvador Island</t>
  </si>
  <si>
    <t>NHC Tropical Cyclone Report: Hurricane Melissa (AL132025), 19 May 2026 revised version, https://www.nhc.noaa.gov/data/tcr/AL132025_Melissa.pdf — Table 3, PDF p.32 and text p.11: highest Bahamas rainfall 7.78 in / 198 mm. Longitude negative = °W.</t>
  </si>
  <si>
    <t>L.F. Wade International Airport (TXKF)</t>
  </si>
  <si>
    <t>Bermuda</t>
  </si>
  <si>
    <t>NHC Tropical Cyclone Report: Hurricane Melissa (AL132025), 19 May 2026 revised version, https://www.nhc.noaa.gov/data/tcr/AL132025_Melissa.pdf — Table 3, PDF p.29 (ICAO site; sustained 43 kt, gust 60 kt, min pressure 996.9 mb). Longitude negative = °W.</t>
  </si>
  <si>
    <t>National Museum of Bermuda (NMB)</t>
  </si>
  <si>
    <t>NHC Tropical Cyclone Report: Hurricane Melissa (AL132025), 19 May 2026 revised version, https://www.nhc.noaa.gov/data/tcr/AL132025_Melissa.pdf — Table 3, PDF p.29 (sustained 68 kt at 46 m elevation, gust 86 kt, min pressure 991.9 mb). Longitude negative = °W.</t>
  </si>
  <si>
    <t>Saint Louis du Sud, Sud Department</t>
  </si>
  <si>
    <t>NHC Tropical Cyclone Report: Hurricane Melissa (AL132025), 19 May 2026 revised version, https://www.nhc.noaa.gov/data/tcr/AL132025_Melissa.pdf — Text p.10 (35.16 in / 893 mm, second-highest total in Haiti); Table 3, PDF p.30. Longitude negative = °W.</t>
  </si>
  <si>
    <t>Annette, Grand'Anse Department</t>
  </si>
  <si>
    <t>NHC Tropical Cyclone Report: Hurricane Melissa (AL132025), 19 May 2026 revised version, https://www.nhc.noaa.gov/data/tcr/AL132025_Melissa.pdf — Text p.10 (33.72 in / 856.5 mm); Table 3, PDF p.30. Longitude negative = °W.</t>
  </si>
  <si>
    <t>Vieux Bourg d'Aquin, Sud Department</t>
  </si>
  <si>
    <t>NHC Tropical Cyclone Report: Hurricane Melissa (AL132025), 19 May 2026 revised version, https://www.nhc.noaa.gov/data/tcr/AL132025_Melissa.pdf — Text p.10 (32.90 in / 835.6 mm); Table 3, PDF p.30. Longitude negative = °W.</t>
  </si>
  <si>
    <t>Polo, Barahona Province (highest rainfall in Dominican Republic)</t>
  </si>
  <si>
    <t>Dominican Republic</t>
  </si>
  <si>
    <t>NHC Tropical Cyclone Report: Hurricane Melissa (AL132025), 19 May 2026 revised version, https://www.nhc.noaa.gov/data/tcr/AL132025_Melissa.pdf — Text p.11 (29.02 in / 737.2 mm); Table 3, PDF p.31. Longitude negative = °W.</t>
  </si>
  <si>
    <t>Centro de los Heroes (EMA), Distrito Nacional (Santo Domingo)</t>
  </si>
  <si>
    <t>NHC Tropical Cyclone Report: Hurricane Melissa (AL132025), 19 May 2026 revised version, https://www.nhc.noaa.gov/data/tcr/AL132025_Melissa.pdf — Text p.11 (19.98 in / 507.4 mm); Table 3, PDF p.31. Longitude negative = °W.</t>
  </si>
  <si>
    <t>Santo Domingo Este, Santo Domingo Province</t>
  </si>
  <si>
    <t>NHC Tropical Cyclone Report: Hurricane Melissa (AL132025), 19 May 2026 revised version, https://www.nhc.noaa.gov/data/tcr/AL132025_Melissa.pdf — Text p.11 (17.84 in / 453.1 mm); Table 3, PDF p.31. Longitude negative = °W.</t>
  </si>
  <si>
    <t>Panama (country level)</t>
  </si>
  <si>
    <t>Panama</t>
  </si>
  <si>
    <t>NHC Tropical Cyclone Report: Hurricane Melissa (AL132025), 19 May 2026 revised version, https://www.nhc.noaa.gov/data/tcr/AL132025_Melissa.pdf — Casualty table PDF p.12 and text p.15: moisture associated with Melissa caused heavy rain and flooding that contributed to three fatalities. Longitude negative = °W.</t>
  </si>
  <si>
    <t>NHC Tropical Cyclone Report: Hurricane Melissa (AL132025), 19 May 2026 revised version, https://www.nhc.noaa.gov/data/tcr/AL132025_Melissa.pdf — Table 3, PDF p.27 (station, coordinates, sustained 47 kt, gust 114 kt at 1600 UTC 28 Oct, min pressure 913.5 mb). Site of the highest gust reported in Jamaica (text p.6–7). Jamaica station sustained wind = 1-hour average (Table 3 footnote b, PDF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</si>
  <si>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p.27 (sustained 57 kt, gust 105 kt, min pressure 958 mb). Jamaica station sustained wind = 1-hour average (Table 3 footnote b, PDF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</si>
  <si>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p.26 (sustained 45 kt, gust 90 kt, min pressure 972.5 mb). Jamaica station sustained wind = 1-hour average (Table 3 footnote b, PDF p.32). Table rainfall (4.43 in) is flagged with an unexplained asterisk, so left blank.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</si>
  <si>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p.26 (sustained 40 kt, gust 96 kt, min pressure 964.6 mb). Jamaica station sustained wind = 1-hour average (Table 3 footnote b, PDF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</si>
  <si>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p.27 (sustained 56 kt, gust 90 kt, min pressure 974.8 mb, rain 20.01 in).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</si>
  <si>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p.27 (sustained 54 kt, gust 93 kt, min pressure 972.5 mb). Jamaica station sustained wind = 1-hour average (Table 3 footnote b, PDF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</si>
  <si>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p.27 (sustained 44 kt, gust 88 kt, min pressure 960.2 mb, rain 9.29 in).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</si>
  <si>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p.26 (sustained 44 kt, gust 85 kt, min pressure 965.9 mb, rain 10.66 in).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</si>
  <si>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p.24 (sustained 25 kt, gust 68 kt, min pressure 984.1 mb, rain 13.16 in).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</si>
  <si>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p.25 (sustained 37 kt, gust 69 kt, min pressure 993.7 mb, rain 7.35 in). Strongest gust in the Kingston area (text p.7).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</si>
  <si>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p.25 (sustained 10 kt, gust 37 kt, min pressure 993.6 mb, rain 22.32 in). Jamaica station sustained wind = 1-hour average (Table 3 footnote b, PDF p.32).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</si>
  <si>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p.24 (ICAO site; sustained 40 kt, gust 56 kt, min pressure 998.0 mb; no data after 1000 UTC 28 Oct). ICAO sustained wind = 2-min average (footnote b,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</si>
  <si>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p.24 (ICAO site; sustained 41 kt, gust 50 kt, min pressure 995.9 mb). ICAO sustained wind = 2-min average (footnote b, p.32).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</si>
  <si>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p.28 (INSMET station; sustained 59 kt (10-min), gust 101 kt, min pressure 967.7 mb, rain 14.71 in); eye passed over 0845–0856 UTC 29 Oct (text p.8). Report gives no coordinates.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</si>
  <si>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p.28 (INSMET elevated station; sustained 70 kt (10-min), gust 118 kt, rain 13.20 in); highest sustained wind and gust in Cuba (text p.8). Report gives no coordinates.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</si>
  <si>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p.28 (ICAO site; sustained 51 kt, gust 65 kt, min pressure 996.5 mb, rain 6.50 in; data gap 0751–2151 UTC 29 Oct). Coordinates printed in the table duplicate those of the Santiago airport, so left blank.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</si>
  <si>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p.29 (INSMET station; sustained 62 kt (10-min), gust 68 kt, min pressure 983.4 mb, rain 10.84 in). Report gives no coordinates.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</si>
  <si>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p.29 (INSMET station; sustained 47 kt (10-min), gust 68 kt, min pressure 999.0 mb, rain 4.04 in). Report gives no coordinates. Rainfall converted from inches (x25.4).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</si>
  <si>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p.32 (sustained 66 kt, gust 77 kt, min pressure 980.7 mb); strongest winds recorded in the Bahamas (text p.8).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</si>
  <si>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p.32 (sustained 45 kt, gust 61 kt, min pressure 968.8 mb).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</si>
  <si>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p.32 (sustained 35 kt, gust 44 kt, min pressure 966.5 mb; Weather Underground site with ~6 mb low bias, text p.8).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</si>
  <si>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p.32 and text p.11: highest Bahamas rainfall 7.78 in / 198 mm. No wind reported at this site. Observation window not specified in the report. avg_temperature: not reported.</t>
  </si>
  <si>
    <t>NHC Tropical Cyclone Report: Hurricane Melissa (AL132025), 19 May 2026 revised version, https://www.nhc.noaa.gov/data/tcr/AL132025_Melissa.pdf — Table 3, PDF p.29 (ICAO site; sustained 43 kt, gust 60 kt, min pressure 996.9 mb). Impacts minor, no casualties (text p.15).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</si>
  <si>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Table 3, PDF p.29 (sustained 68 kt at 46 m elevation, gust 86 kt, min pressure 991.9 mb). No rainfall reported. Window = time of reported maximum sustained wind. avg_wind_speed (kt) = reported sustained wind at the station, not a best-track average. avg_temperature: not reported.</t>
  </si>
  <si>
    <t>NHC Tropical Cyclone Report: Hurricane Melissa (AL132025), 19 May 2026 revised version, https://www.nhc.noaa.gov/data/tcr/AL132025_Melissa.pdf — Text p.10 (35.16 in / 893 mm, second-highest total in Haiti); Table 3, PDF p.30. Report gives no coordinates or wind data. Observation window not specified in the report. avg_temperature: not reported.</t>
  </si>
  <si>
    <t>NHC Tropical Cyclone Report: Hurricane Melissa (AL132025), 19 May 2026 revised version, https://www.nhc.noaa.gov/data/tcr/AL132025_Melissa.pdf — Text p.10 (33.72 in / 856.5 mm); Table 3, PDF p.30. Report gives no coordinates or wind data. Observation window not specified in the report. avg_temperature: not reported.</t>
  </si>
  <si>
    <t>NHC Tropical Cyclone Report: Hurricane Melissa (AL132025), 19 May 2026 revised version, https://www.nhc.noaa.gov/data/tcr/AL132025_Melissa.pdf — Text p.10 (32.90 in / 835.6 mm); Table 3, PDF p.30. Report gives no coordinates or wind data. Observation window not specified in the report. avg_temperature: not reported.</t>
  </si>
  <si>
    <t>NHC Tropical Cyclone Report: Hurricane Melissa (AL132025), 19 May 2026 revised version, https://www.nhc.noaa.gov/data/tcr/AL132025_Melissa.pdf — Text p.11 (29.02 in / 737.2 mm); Table 3, PDF p.31. Report gives no coordinates or wind data. Observation window not specified in the report. avg_temperature: not reported.</t>
  </si>
  <si>
    <t>NHC Tropical Cyclone Report: Hurricane Melissa (AL132025), 19 May 2026 revised version, https://www.nhc.noaa.gov/data/tcr/AL132025_Melissa.pdf — Text p.11 (19.98 in / 507.4 mm); Table 3, PDF p.31. Report gives no coordinates or wind data. Observation window not specified in the report. avg_temperature: not reported.</t>
  </si>
  <si>
    <t>NHC Tropical Cyclone Report: Hurricane Melissa (AL132025), 19 May 2026 revised version, https://www.nhc.noaa.gov/data/tcr/AL132025_Melissa.pdf — Text p.11 (17.84 in / 453.1 mm); Table 3, PDF p.31. Report gives no coordinates or wind data. Observation window not specified in the report. avg_temperature: not reported.</t>
  </si>
  <si>
    <t>NHC Tropical Cyclone Report: Hurricane Melissa (AL132025), 19 May 2026 revised version, https://www.nhc.noaa.gov/data/tcr/AL132025_Melissa.pdf — Casualty table PDF p.12 and text p.15: moisture associated with Melissa caused heavy rain and flooding that contributed to three fatalities. No stations, coordinates, wind or rainfall reported. Observation window not specified in the report. avg_temperature: not reported.</t>
  </si>
  <si>
    <t>NHC Tropical Cyclone Report: Hurricane Melissa (AL132025), 19 May 2026 revised version, https://www.nhc.noaa.gov/data/tcr/AL132025_Melissa.pdf — Panama: heavy rain and flooding contributed to three fatalities (PDF p.15; total in casualty table p.12). Direct/indirect split not reported, so left blank. No USD damage given.</t>
  </si>
  <si>
    <t>NHC Tropical Cyclone Report: Hurricane Melissa (AL132025), 19 May 2026 revised version, https://www.nhc.noaa.gov/data/tcr/AL132025_Melissa.pdf — Bermuda: impacts minor; 'no reported casualties' (PDF p.15), recorded as 0 direct / 0 indirect. No USD damage given.</t>
  </si>
  <si>
    <t>NHC Tropical Cyclone Report: Hurricane Melissa (AL132025), 19 May 2026 revised version, https://www.nhc.noaa.gov/data/tcr/AL132025_Melissa.pdf — Dominican Republic: government assessment reported no fatalities attributed to Melissa (PDF p.14), recorded as 0. Damage reported as counts only (823 homes flooded, 21 partially affected, 2 destroyed, 29 aqueducts out of service affecting ~250,000 users; p.14), no USD figure.</t>
  </si>
  <si>
    <t>2022-09-23 6:00 UTC</t>
  </si>
  <si>
    <t>2022-10-01 12:00 UTC</t>
  </si>
  <si>
    <t>NHC Tropical Cyclone Report: Hurricane Ian (AL092022), 12 March 2026 revised version (original 2 April 2023), https://www.nhc.noaa.gov/data/tcr/AL092022_Ian.pdf — start: genesis as a tropical depression 0600 UTC 23 Sep 2022 (PDF p.3; Table 1, p.20). End: 'dissipation' 1200 UTC 1 Oct 2022 (Table 1, p.21; text p.4). Becomes extratropical 0000 UTC 1 Oct (p.4).</t>
  </si>
  <si>
    <t>tropical depression</t>
  </si>
  <si>
    <t>Best Track Reference — Hurricane Ian (AL092022)</t>
  </si>
  <si>
    <t>Helper table used by meteorological_data.avg_wind_speed. Hurricane ID = 1.</t>
  </si>
  <si>
    <t>Source: NHC Tropical Cyclone Report: Hurricane Ian (AL092022), https://www.nhc.noaa.gov/data/tcr/AL092022_Ian.pdf — Table 1, PDF pages 20–21. Ditto marks (") in the stage column were filled down.</t>
  </si>
  <si>
    <t>NHC Tropical Cyclone Report: Hurricane Ian (AL092022), 12 March 2026 revised version (original 2 April 2023), https://www.nhc.noaa.gov/data/tcr/AL092022_Ian.pdf — Window: landfall 0830 UTC 27 Sep to emergence over the SE Gulf of Mexico ~1400 UTC 27 Sep (p.3). avg_wind_speed (kt, 1-min sustained) = average of best-track winds in window, from best_track_ref_ian (Table 1, p.20). total_rainfall (mm) = highest total from INSMET stations in western Cuba (range 151.7–338 mm, p.12; station not named). Media reports of &gt;500 mm not used (not instrument-based). avg_temperature: not reported.</t>
  </si>
  <si>
    <t>NHC Tropical Cyclone Report: Hurricane Ian (AL092022), 12 March 2026 revised version (original 2 April 2023), https://www.nhc.noaa.gov/data/tcr/AL092022_Ian.pdf — Window: landfall 0200 UTC 28 Sep, eye passed directly over the Dry Tortugas (p.4). avg_wind_speed (kt) = best-track wind at landfall (Table 1, p.20). No rainfall reported. avg_temperature: not reported.</t>
  </si>
  <si>
    <t>NHC Tropical Cyclone Report: Hurricane Ian (AL092022), 12 March 2026 revised version (original 2 April 2023), https://www.nhc.noaa.gov/data/tcr/AL092022_Ian.pdf — Window: landfall on Cayo Costa 1905 UTC 28 Sep to second landfall near Punta Gorda 2035 UTC 28 Sep (p.4). avg_wind_speed (kt) = average of best-track winds in window (Table 1, p.21). Rainfall stored on separate Florida rainfall rows. avg_temperature: not reported.</t>
  </si>
  <si>
    <t>NHC Tropical Cyclone Report: Hurricane Ian (AL092022), 12 March 2026 revised version (original 2 April 2023), https://www.nhc.noaa.gov/data/tcr/AL092022_Ian.pdf — Window: landfall near Punta Gorda 2035 UTC 28 Sep to emergence over the Atlantic near Cape Canaveral 1200 UTC 29 Sep (p.4). avg_wind_speed (kt) = average of best-track winds in window (Table 1, p.21). avg_temperature: not reported.</t>
  </si>
  <si>
    <t>NHC Tropical Cyclone Report: Hurricane Ian (AL092022), 12 March 2026 revised version (original 2 April 2023), https://www.nhc.noaa.gov/data/tcr/AL092022_Ian.pdf — Window: final landfall 1805 UTC 30 Sep to extratropical transition 0000 UTC 1 Oct (p.4). avg_wind_speed (kt) = average of best-track winds in window (Table 1, p.21). avg_temperature: not reported.</t>
  </si>
  <si>
    <t>NHC Tropical Cyclone Report: Hurricane Ian (AL092022), 12 March 2026 revised version (original 2 April 2023), https://www.nhc.noaa.gov/data/tcr/AL092022_Ian.pdf — PDF p.6 (Instituto de Meteorología de Cuba; sustained 90 kt (10-min), gust 118 kt). Cuban sustained wind = 10-min average (1-min equivalent 100–110 kt, p.6).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</si>
  <si>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p.6 (sustained 89 kt (10-min), gust 105 kt; min pressure 956.7 mb at 0850 UTC 27 Sep).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</si>
  <si>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p.6–7 (inland mobile tower; sustained 78 kt, gust 96 kt); highest reported sustained wind for the mainland landfall.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</si>
  <si>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p.7 (ASOS; sustained 76 kt, gust 117 kt at approximately 2025 UTC 28 Sep; station stopped reporting shortly after, data incomplete).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</si>
  <si>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p.7 (sustained 63 kt, gust 83 kt; ~80 n mi from the center).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</si>
  <si>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p.7 (sustained 35 kt, northernmost tropical-storm-force wind on the west coast of Florida; station type not given).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</si>
  <si>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PDF p.7 (sustained 69 kt, gust 73 kt; highest complete-record sustained wind near the SC landfall). No rainfall reported. Window = time of reported maximum sustained wind. avg_wind_speed (kt) = reported sustained wind at the station, not a best-track average. avg_temperature: not reported.</t>
  </si>
  <si>
    <t>NHC Tropical Cyclone Report: Hurricane Ian (AL092022), 12 March 2026 revised version (original 2 April 2023), https://www.nhc.noaa.gov/data/tcr/AL092022_Ian.pdf — Text p.11 (26.95 in, highest storm total for Ian, just north of the landfall location). Rainfall converted from inches (x25.4). No wind reported at this site. Observation window not specified in the report. avg_temperature: not reported.</t>
  </si>
  <si>
    <t>NHC Tropical Cyclone Report: Hurricane Ian (AL092022), 12 March 2026 revised version (original 2 April 2023), https://www.nhc.noaa.gov/data/tcr/AL092022_Ian.pdf — Text p.11 (21.49 in, secondary rainfall peak near the Atlantic coast). Rainfall converted from inches (x25.4). No wind reported at this site. Observation window not specified in the report. avg_temperature: not reported.</t>
  </si>
  <si>
    <t>NHC Tropical Cyclone Report: Hurricane Ian (AL092022), 12 March 2026 revised version (original 2 April 2023), https://www.nhc.noaa.gov/data/tcr/AL092022_Ian.pdf — Text p.11 (10.75 in). Rainfall converted from inches (x25.4). No wind reported at this site. Observation window not specified in the report. avg_temperature: not reported.</t>
  </si>
  <si>
    <t>NHC Tropical Cyclone Report: Hurricane Ian (AL092022), 12 March 2026 revised version (original 2 April 2023), https://www.nhc.noaa.gov/data/tcr/AL092022_Ian.pdf — Text p.13 and Fig. 16: 5 indirect death(s) in North Carolina; all direct deaths occurred in Florida (p.12). No stations, coordinates, wind or rainfall reported for this row. Observation window not specified in the report. avg_temperature: not reported.</t>
  </si>
  <si>
    <t>NHC Tropical Cyclone Report: Hurricane Ian (AL092022), 12 March 2026 revised version (original 2 April 2023), https://www.nhc.noaa.gov/data/tcr/AL092022_Ian.pdf — Text p.13 and Fig. 16: 1 indirect death(s) in Virginia; all direct deaths occurred in Florida (p.12). No stations, coordinates, wind or rainfall reported for this row. Observation window not specified in the report. avg_temperature: not reported.</t>
  </si>
  <si>
    <t>NHC Tropical Cyclone Report: Hurricane Ian (AL092022), 12 March 2026 revised version (original 2 April 2023), https://www.nhc.noaa.gov/data/tcr/AL092022_Ian.pdf — Table 2, PDF p.22–23: ship call sign 9V3143, wind 45 kt at 1100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</si>
  <si>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V7IJ2, wind 45 kt at 1900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</si>
  <si>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V7IJ2, wind 45 kt at 2000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</si>
  <si>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V7IJ2, wind 55 kt at 2100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</si>
  <si>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WHIA, wind 35 kt at 2100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</si>
  <si>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WHIA, wind 39 kt at 2200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</si>
  <si>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WHIA, wind 38 kt at 2300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</si>
  <si>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V7IJ2, wind 50 kt at 0000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</si>
  <si>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WHIA, wind 38 kt at 0200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</si>
  <si>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V7IJ2, wind 45 kt at 0300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</si>
  <si>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ELVQ7, wind 42 kt at 0300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</si>
  <si>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WOTA, wind 42 kt at 0600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</si>
  <si>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WMCU, wind 35 kt at 1000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</si>
  <si>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TBWUK8, wind 35 kt at 1200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</si>
  <si>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WOTA, wind 45 kt at 1300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</si>
  <si>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ELVQ7, wind 38 kt at 1500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</si>
  <si>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WMCU, wind 35 kt at 1500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</si>
  <si>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D5BF7, wind 36 kt at 1600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</si>
  <si>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WMCU, wind 35 kt at 1700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</si>
  <si>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KPSJ, wind 35 kt at 1800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</si>
  <si>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35 kt at 2100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</si>
  <si>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9HA540, wind 42 kt at 2200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</si>
  <si>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41 kt at 0000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</si>
  <si>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A8SI7, wind 42 kt at 1700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</si>
  <si>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35 kt at 2000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</si>
  <si>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44 kt at 2100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</si>
  <si>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40 kt at 2200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</si>
  <si>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50 kt at 2300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</si>
  <si>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WDM218, wind 43 kt at 2300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</si>
  <si>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50 kt at 0000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</si>
  <si>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45 kt at 0100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</si>
  <si>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39 kt at 0200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</si>
  <si>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46 kt at 0300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</si>
  <si>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KS1059, wind 35 kt at 0400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</si>
  <si>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A8SI7, wind 35 kt at 0400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</si>
  <si>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OUJK2, wind 35 kt at 0700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</si>
  <si>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H3BL, wind 35 kt at 1200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</si>
  <si>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WDM218, wind 44 kt at 1500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</si>
  <si>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WDM218, wind 44 kt at 1800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</si>
  <si>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9HA564, wind 45 kt at 1800 UTC. avg_wind_speed (kt) = single reported ship wind (averaging period not stated), not a best-track average. No rainfall reported. avg_temperature: not reported.</t>
  </si>
  <si>
    <t>NHC Tropical Cyclone Report: Hurricane Ian (AL092022), 12 March 2026 revised version (original 2 April 2023), https://www.nhc.noaa.gov/data/tcr/AL092022_Ian.pdf — Table 2, PDF p.22–23: ship call sign OUJK2, wind 55 kt at 1900 UTC. avg_wind_speed (kt) = single reported ship wind (averaging period not stated), not a best-track average. No rainfall reported. avg_temperature: not reported.</t>
  </si>
  <si>
    <t>Pinar del Río Province, western Cuba (landfall near La Coloma)</t>
  </si>
  <si>
    <t>NHC Tropical Cyclone Report: Hurricane Ian (AL092022), 12 March 2026 revised version (original 2 April 2023), https://www.nhc.noaa.gov/data/tcr/AL092022_Ian.pdf — landfall position (Table 1, PDF p.21; text p.3). Longitude negative = °W.</t>
  </si>
  <si>
    <t>Dry Tortugas, Florida (landfall)</t>
  </si>
  <si>
    <t>United States</t>
  </si>
  <si>
    <t>NHC Tropical Cyclone Report: Hurricane Ian (AL092022), 12 March 2026 revised version (original 2 April 2023), https://www.nhc.noaa.gov/data/tcr/AL092022_Ian.pdf — landfall position (Table 1, PDF p.21; text p.4). Longitude negative = °W.</t>
  </si>
  <si>
    <t>Cayo Costa barrier island, Lee County, southwestern Florida (landfall)</t>
  </si>
  <si>
    <t>Charlotte County, southwestern Florida (landfall near Punta Gorda)</t>
  </si>
  <si>
    <t>Georgetown County, South Carolina (landfall near Georgetown)</t>
  </si>
  <si>
    <t>San Juan y Martínez, Pinar del Río Province</t>
  </si>
  <si>
    <t>NHC Tropical Cyclone Report: Hurricane Ian (AL092022), 12 March 2026 revised version (original 2 April 2023), https://www.nhc.noaa.gov/data/tcr/AL092022_Ian.pdf — PDF p.6 (Instituto de Meteorología de Cuba; sustained 90 kt (10-min), gust 118 kt). Cuban sustained wind = 10-min average (1-min equivalent 100–110 kt, p.6). Report gives no coordinates, so latitude/longitude left blank.</t>
  </si>
  <si>
    <t>Pinar del Río (INSMET observing station), Pinar del Río Province</t>
  </si>
  <si>
    <t>NHC Tropical Cyclone Report: Hurricane Ian (AL092022), 12 March 2026 revised version (original 2 April 2023), https://www.nhc.noaa.gov/data/tcr/AL092022_Ian.pdf — PDF p.6 (sustained 89 kt (10-min), gust 105 kt; min pressure 956.7 mb at 0850 UTC 27 Sep). Report gives no coordinates, so latitude/longitude left blank.</t>
  </si>
  <si>
    <t>Florida Coastal Monitoring Program mobile tower near Punta Gorda Airport, Charlotte County, Florida</t>
  </si>
  <si>
    <t>NHC Tropical Cyclone Report: Hurricane Ian (AL092022), 12 March 2026 revised version (original 2 April 2023), https://www.nhc.noaa.gov/data/tcr/AL092022_Ian.pdf — PDF p.6–7 (inland mobile tower; sustained 78 kt, gust 96 kt); highest reported sustained wind for the mainland landfall. Report gives no coordinates, so latitude/longitude left blank.</t>
  </si>
  <si>
    <t>Punta Gorda ASOS, Charlotte County, Florida</t>
  </si>
  <si>
    <t>NHC Tropical Cyclone Report: Hurricane Ian (AL092022), 12 March 2026 revised version (original 2 April 2023), https://www.nhc.noaa.gov/data/tcr/AL092022_Ian.pdf — PDF p.7 (ASOS; sustained 76 kt, gust 117 kt at approximately 2025 UTC 28 Sep; station stopped reporting shortly after, data incomplete). Report gives no coordinates, so latitude/longitude left blank.</t>
  </si>
  <si>
    <t>New Smyrna Beach (WeatherFlow station), Volusia County, Florida</t>
  </si>
  <si>
    <t>NHC Tropical Cyclone Report: Hurricane Ian (AL092022), 12 March 2026 revised version (original 2 April 2023), https://www.nhc.noaa.gov/data/tcr/AL092022_Ian.pdf — PDF p.7 (sustained 63 kt, gust 83 kt; ~80 n mi from the center). Report gives no coordinates, so latitude/longitude left blank.</t>
  </si>
  <si>
    <t>Dunedin, Pinellas County, Florida</t>
  </si>
  <si>
    <t>NHC Tropical Cyclone Report: Hurricane Ian (AL092022), 12 March 2026 revised version (original 2 April 2023), https://www.nhc.noaa.gov/data/tcr/AL092022_Ian.pdf — PDF p.7 (sustained 35 kt, northernmost tropical-storm-force wind on the west coast of Florida; station type not given). Report gives no coordinates, so latitude/longitude left blank.</t>
  </si>
  <si>
    <t>Georgetown (WeatherFlow station, 15 m anemometer), South Carolina</t>
  </si>
  <si>
    <t>NHC Tropical Cyclone Report: Hurricane Ian (AL092022), 12 March 2026 revised version (original 2 April 2023), https://www.nhc.noaa.gov/data/tcr/AL092022_Ian.pdf — PDF p.7 (sustained 69 kt, gust 73 kt; highest complete-record sustained wind near the SC landfall). Report gives no coordinates, so latitude/longitude left blank.</t>
  </si>
  <si>
    <t>Grove City, Charlotte County, Florida</t>
  </si>
  <si>
    <t>NHC Tropical Cyclone Report: Hurricane Ian (AL092022), 12 March 2026 revised version (original 2 April 2023), https://www.nhc.noaa.gov/data/tcr/AL092022_Ian.pdf — Text p.11 (26.95 in, highest storm total for Ian, just north of the landfall location). Report gives no coordinates, so latitude/longitude left blank.</t>
  </si>
  <si>
    <t>Daytona Beach, Volusia County, Florida</t>
  </si>
  <si>
    <t>NHC Tropical Cyclone Report: Hurricane Ian (AL092022), 12 March 2026 revised version (original 2 April 2023), https://www.nhc.noaa.gov/data/tcr/AL092022_Ian.pdf — Text p.11 (21.49 in, secondary rainfall peak near the Atlantic coast). Report gives no coordinates, so latitude/longitude left blank.</t>
  </si>
  <si>
    <t>Charleston, South Carolina</t>
  </si>
  <si>
    <t>NHC Tropical Cyclone Report: Hurricane Ian (AL092022), 12 March 2026 revised version (original 2 April 2023), https://www.nhc.noaa.gov/data/tcr/AL092022_Ian.pdf — Text p.11 (10.75 in). Report gives no coordinates, so latitude/longitude left blank.</t>
  </si>
  <si>
    <t>North Carolina (state level)</t>
  </si>
  <si>
    <t>NHC Tropical Cyclone Report: Hurricane Ian (AL092022), 12 March 2026 revised version (original 2 April 2023), https://www.nhc.noaa.gov/data/tcr/AL092022_Ian.pdf — Text p.13 and Fig. 16: 5 indirect death(s) in North Carolina; all direct deaths occurred in Florida (p.12). Report gives no coordinates, so latitude/longitude left blank.</t>
  </si>
  <si>
    <t>Virginia (state level)</t>
  </si>
  <si>
    <t>NHC Tropical Cyclone Report: Hurricane Ian (AL092022), 12 March 2026 revised version (original 2 April 2023), https://www.nhc.noaa.gov/data/tcr/AL092022_Ian.pdf — Text p.13 and Fig. 16: 1 indirect death(s) in Virginia; all direct deaths occurred in Florida (p.12). Report gives no coordinates, so latitude/longitude left blank.</t>
  </si>
  <si>
    <t>Open water (ship report position)</t>
  </si>
  <si>
    <t>NHC Tropical Cyclone Report: Hurricane Ian (AL092022), 12 March 2026 revised version (original 2 April 2023), https://www.nhc.noaa.gov/data/tcr/AL092022_Ian.pdf — Table 2 'Selected ship reports with winds of at least 34 kt', PDF p.22–23. Position rounded to 0.1°; one row per unique position, reused by several reports (no country: at sea). Longitude negative = °W.</t>
  </si>
  <si>
    <t>NHC Tropical Cyclone Report: Hurricane Ian (AL092022), 12 March 2026 revised version (original 2 April 2023), https://www.nhc.noaa.gov/data/tcr/AL092022_Ian.pdf — Cuba: 5 deaths, 3 direct (two wind, one unknown) and 2 indirect (clean-up accidents) (PDF p.13). More than 100,000 homes damaged or destroyed, ~60% of homes in Pinar del Río Province; entire island lost power (p.14). 'No monetary damage estimate available for Cuba' (p.14), so USD left blank.</t>
  </si>
  <si>
    <t>NHC Tropical Cyclone Report: Hurricane Ian (AL092022), 12 March 2026 revised version (original 2 April 2023), https://www.nhc.noaa.gov/data/tcr/AL092022_Ian.pdf — Florida: all 66 direct US deaths occurred in Florida (41 storm surge, 36 of them in Lee County; 12 freshwater flooding; 8 marine; 4 wind; 1 rough surf) (PDF p.12); 84 of the 90 indirect US deaths in Florida (p.13). economic_damage_overall_usd = $109.5 billion Florida share of the $112.9 billion US total (NOAA NCEI estimate, p.13). 11 migrants still missing are not counted (p.12). Separate infrastructure-only figure not reported (crop/agriculture losses given only as a range, $1.1–1.8 billion, p.13).</t>
  </si>
  <si>
    <t>NHC Tropical Cyclone Report: Hurricane Ian (AL092022), 12 March 2026 revised version (original 2 April 2023), https://www.nhc.noaa.gov/data/tcr/AL092022_Ian.pdf — South Carolina: no deaths listed for SC — all direct deaths were in Florida (p.12) and the indirect deaths were FL 84, NC 5, VA 1 (p.13), so recorded as 0 / 0. Storm surge flooded downtown Georgetown (p.14). No state-level USD figure; the remaining $3.4 billion of the US total is not split by state.</t>
  </si>
  <si>
    <t>NHC Tropical Cyclone Report: Hurricane Ian (AL092022), 12 March 2026 revised version (original 2 April 2023), https://www.nhc.noaa.gov/data/tcr/AL092022_Ian.pdf — North Carolina: 5 indirect deaths (PDF p.13, Fig. 16); no direct deaths outside Florida (p.12). ~579,000 customers lost power (p.14). No USD figure.</t>
  </si>
  <si>
    <t>NHC Tropical Cyclone Report: Hurricane Ian (AL092022), 12 March 2026 revised version (original 2 April 2023), https://www.nhc.noaa.gov/data/tcr/AL092022_Ian.pdf — Virginia: 1 indirect death (PDF p.13, Fig. 16); no direct deaths outside Florida (p.12). ~211,000 customers lost power (p.14). No USD figure.</t>
  </si>
  <si>
    <t>Jamaica parish-level direct physical damage — Hurricane Melissa (hurricane ID 0)</t>
  </si>
  <si>
    <t>Direct physical damage to assets (replacement cost) in US$ millions; excludes economic losses. Used by destruction_entity for Jamaica station rows.</t>
  </si>
  <si>
    <t>Source: World Bank / GFDRR, Global Rapid Post-Disaster Damage Estimation (GRADE): Hurricane Melissa 2025 Jamaica, Table ES.1, PDF p.12 (printed p.2), https://www.gfdrr.org/sites/default/files/publication/GRADE%20Jamaica_FIN.pdf (landing page https://www.gfdrr.org/en/JamaicaGRADE)</t>
  </si>
  <si>
    <t>parish</t>
  </si>
  <si>
    <t>residential_usd_mn</t>
  </si>
  <si>
    <t>non_residential_usd_mn</t>
  </si>
  <si>
    <t>infrastructure_usd_mn</t>
  </si>
  <si>
    <t>agriculture_usd_mn</t>
  </si>
  <si>
    <t>total_usd_mn</t>
  </si>
  <si>
    <t>Saint Elizabeth</t>
  </si>
  <si>
    <t>Saint James</t>
  </si>
  <si>
    <t>Westmoreland</t>
  </si>
  <si>
    <t>Trelawny</t>
  </si>
  <si>
    <t>Manchester</t>
  </si>
  <si>
    <t>Saint Ann</t>
  </si>
  <si>
    <t>Hanover</t>
  </si>
  <si>
    <t>Clarendon</t>
  </si>
  <si>
    <t>Saint Catherine</t>
  </si>
  <si>
    <t>Saint Andrew</t>
  </si>
  <si>
    <t>Saint Mary</t>
  </si>
  <si>
    <t>Portland</t>
  </si>
  <si>
    <t>Saint Thomas</t>
  </si>
  <si>
    <t>Kingston</t>
  </si>
  <si>
    <t>Total (calculated)</t>
  </si>
  <si>
    <t>Total as printed in report</t>
  </si>
  <si>
    <t>NHC Tropical Cyclone Report: Hurricane Melissa (AL132025), 19 May 2026 revised version, https://www.nhc.noaa.gov/data/tcr/AL132025_Melissa.pdf — Deaths: 45 fatalities in Jamaica (PDF p.12 table; p.13); direct vs indirect split not available (p.13), so left blank. economic_damage_overall_usd = US$12.2 billion (NHC p.13; the NHC text labels it 'physical damage' / '41 percent of GDP', but IDB states US$12.2 billion is TOTAL damage and losses = ~56.7% of 2024 GDP per the Planning Institute of Jamaica, March 2026: https://www.iadb.org/en/blog/economic-analysis/jamaica-after-hurricane-melissa-building-resilience-through-disaster-risk-financing ). ADDITIONAL SOURCE (not in NHC report): infrastructure_damage_usd = US$2.9 billion (2,916.4 million in table) direct physical damage to infrastructure (power, telecoms, water, seaports, airports, roads, bridges) — World Bank / GFDRR, Global Rapid Post-Disaster Damage Estimation (GRADE): Hurricane Melissa 2025 Jamaica, Table ES.1, PDF p.12 (printed p.2), https://www.gfdrr.org/sites/default/files/publication/GRADE%20Jamaica_FIN.pdf (landing page https://www.gfdrr.org/en/JamaicaGRADE); also presented by the World Bank on 19 Nov 2025 (Jamaica Information Service: https://jis.gov.jm/st-elizabeth-st-james-westmoreland-sustained-us5-5-billion-in-damage-from-hurricane-melissa/ ). Preliminary Nov 2025 estimate of US$8.8 billion total physical damage, an earlier vintage than the US$12.2 billion.</t>
  </si>
  <si>
    <t>Note: differences of ≤0.2 between calculated and printed totals are rounding in the published table.</t>
  </si>
  <si>
    <t>Parish-level damage for Westmoreland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15 confirmed death(s) for Westmoreland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</si>
  <si>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Trelawny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2 confirmed death(s) for Trelawny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</si>
  <si>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Saint Ann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1 confirmed death(s) for Saint Ann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</si>
  <si>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Saint Elizabeth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18 confirmed death(s) for Saint Elizabeth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</si>
  <si>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Clarendon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no deaths listed for Clarendon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</si>
  <si>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Saint Andrew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no deaths listed for Saint Andrew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</si>
  <si>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Saint James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6 confirmed death(s) for Saint James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</si>
  <si>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Parish-level damage for Kingston parish, where this station is located (parish assignment by station location; Table 3 PDF p.24–27 of NHC report). Source: World Bank / GFDRR, Global Rapid Post-Disaster Damage Estimation (GRADE): Hurricane Melissa 2025 Jamaica, Table ES.1, PDF p.12 (printed p.2), https://www.gfdrr.org/sites/default/files/publication/GRADE%20Jamaica_FIN.pdf (landing page https://www.gfdrr.org/en/JamaicaGRADE). infrastructure_damage_usd = parish infrastructure damage; economic_damage_overall_usd = parish total direct physical damage (replacement cost; GRADE excludes economic losses such as lost sales/tourism). GRADE gives no site-level figures (low confidence at asset level, PDF p.11). The same parish figure is repeated for every station row in this parish — do NOT sum across rows. Preliminary Nov 2025 estimate. DEATHS: Government of Jamaica reports no deaths listed for Kingston parish (of 45 island-wide; St Elizabeth 18, Westmoreland 15, St James 6, Hanover 2, Trelawny 2, St Ann 1, Portland 1) — total only; no official direct/indirect classification exists (NHC report p.13: 'unclear how many... direct'), so deaths_direct and deaths_indirect are left blank. Sources: Jamaica Information Service, https://jis.gov.jm/45-confirmed-deaths-from-hurricane-melissa/ ; UN OCHA Situation Report No. 4 (11 Nov 2025), https://www.unocha.org/publications/report/jamaica/jamaica-hurricane-melissa-situation-report-no-4-11-november . Repeated per station in the parish — do not sum.</t>
  </si>
  <si>
    <t>Fiona</t>
  </si>
  <si>
    <t>2022-09-14 06:00 UTC</t>
  </si>
  <si>
    <t>2022-09-17 06:00 UTC</t>
  </si>
  <si>
    <t>2022-09-28 00:00 UTC</t>
  </si>
  <si>
    <t>Guadeloupe (landfall)</t>
  </si>
  <si>
    <t>Guadeloupe</t>
  </si>
  <si>
    <t>NHC Fiona TCR — landfall 2315 UTC 16 Sep; Table 1, PDF p.16.</t>
  </si>
  <si>
    <t>Near Punta Tocon, extreme southwestern Puerto Rico (landfall)</t>
  </si>
  <si>
    <t>Puerto Rico</t>
  </si>
  <si>
    <t>NHC Fiona TCR — landfall 1920 UTC 18 Sep; Table 1, PDF p.16; text p.3.</t>
  </si>
  <si>
    <t>Near Boca de Yuma, southeastern Dominican Republic (landfall)</t>
  </si>
  <si>
    <t>NHC Fiona TCR — landfall 0730 UTC 19 Sep; Table 1, PDF p.16; text pp.3–4.</t>
  </si>
  <si>
    <t>Grand Turk (landfall)</t>
  </si>
  <si>
    <t>Turks and Caicos Islands</t>
  </si>
  <si>
    <t>NHC Fiona TCR — landfall 1100 UTC 20 Sep; Table 1, PDF p.16.</t>
  </si>
  <si>
    <t>Near Lower Whitehead, Nova Scotia (extratropical landfall)</t>
  </si>
  <si>
    <t>Canada</t>
  </si>
  <si>
    <t>NHC Fiona TCR — extratropical landfall 0700 UTC 24 Sep; Table 1, PDF p.16.</t>
  </si>
  <si>
    <t>Near L'Anse-du-Portage, Quebec (extratropical landfall)</t>
  </si>
  <si>
    <t>NHC Fiona TCR — extratropical landfall 0800 UTC 25 Sep; Table 1, PDF p.16.</t>
  </si>
  <si>
    <t>La Désirade Airport (TFFA)</t>
  </si>
  <si>
    <t>NHC Fiona TCR — Table 3, PDF p.18.</t>
  </si>
  <si>
    <t>Matouba, St-Claude</t>
  </si>
  <si>
    <t>NHC Fiona TCR — Table 3, PDF p.18; highest Guadeloupe rainfall, 22.22 in / 564.5 mm.</t>
  </si>
  <si>
    <t>El Cocal, Yabucoa (XECY)</t>
  </si>
  <si>
    <t>NHC Fiona TCR — Table 3, PDF p.22.</t>
  </si>
  <si>
    <t>Ponce (EW7791)</t>
  </si>
  <si>
    <t>NHC Fiona TCR — Table 3, PDF p.26.</t>
  </si>
  <si>
    <t>Las Mareas (XMRS)</t>
  </si>
  <si>
    <t>Magueyes Island (MGIP4)</t>
  </si>
  <si>
    <t>Rio Cerrillos near Ponce (PCEP4)</t>
  </si>
  <si>
    <t>NHC Fiona TCR — Table 3, PDF p.23; highest Puerto Rico rainfall, 32.40 in / 823 mm.</t>
  </si>
  <si>
    <t>Buck Island (XBUK)</t>
  </si>
  <si>
    <t>U.S. Virgin Islands</t>
  </si>
  <si>
    <t>NHC Fiona TCR — Table 3, PDF p.21.</t>
  </si>
  <si>
    <t>Frederiksted 2.9 NNE (VI-SC-16), St. Croix</t>
  </si>
  <si>
    <t>NHC Fiona TCR — Table 3, PDF p.21; rainfall maximum for U.S. Virgin Islands.</t>
  </si>
  <si>
    <t>Samaná El Catey International Airport (MDCY)</t>
  </si>
  <si>
    <t>NHC Fiona TCR — Table 3, PDF p.27.</t>
  </si>
  <si>
    <t>2022-09-16 23:15 UTC</t>
  </si>
  <si>
    <t>NHC Fiona TCR — wind = best-track landfall intensity in Guadeloupe; rainfall = territory maximum at Matouba. Table 1 p.16; rainfall text p.6/Table 3 p.18.</t>
  </si>
  <si>
    <t>2022-09-18 19:20 UTC</t>
  </si>
  <si>
    <t>NHC Fiona TCR — Puerto Rico landfall intensity; rainfall = storm maximum at Rio Cerrillos near Ponce. Table 1 p.16; text p.7.</t>
  </si>
  <si>
    <t>2022-09-19 07:30 UTC</t>
  </si>
  <si>
    <t>2022-09-19 15:00 UTC</t>
  </si>
  <si>
    <t>NHC Fiona TCR — landfall 0730 UTC and emergence from northern coast by ~1500 UTC. 77.5 kt = mean of best-track 80 kt at 0730 and 75 kt at 1200; rainfall = national maximum at La Romana.</t>
  </si>
  <si>
    <t>2022-09-20 11:00 UTC</t>
  </si>
  <si>
    <t>NHC Fiona TCR — Grand Turk landfall; Table 1, p.16. No territory-wide maximum rainfall value specified for this row.</t>
  </si>
  <si>
    <t>2022-09-24 07:00 UTC</t>
  </si>
  <si>
    <t>NHC Fiona TCR — extratropical Nova Scotia landfall; rainfall = Canadian maximum at Big Intervale.</t>
  </si>
  <si>
    <t>2022-09-25 08:00 UTC</t>
  </si>
  <si>
    <t>NHC Fiona TCR — extratropical Quebec landfall; Table 1, p.16.</t>
  </si>
  <si>
    <t>NHC Fiona TCR — La Désirade Airport: sustained 43 kt (1-min), gust 50 kt, 9.59 in / 243.5 mm rain; Table 3 p.18.</t>
  </si>
  <si>
    <t>NHC Fiona TCR — Matouba: 22.22 in / 564.5 mm; no wind observation listed for this entry.</t>
  </si>
  <si>
    <t>2022-09-18 14:07 UTC</t>
  </si>
  <si>
    <t>NHC Fiona TCR — El Cocal, Yabucoa: sustained 68 kt, gust 79 kt; Table 3 p.22.</t>
  </si>
  <si>
    <t>2022-09-18 17:00 UTC</t>
  </si>
  <si>
    <t>NHC Fiona TCR — Ponce: sustained 60 kt, gust 90 kt, rain 11.30 in; Table 3 p.26.</t>
  </si>
  <si>
    <t>2022-09-18 15:00 UTC</t>
  </si>
  <si>
    <t>NHC Fiona TCR — Las Mareas: sustained 61 kt, gust 70 kt; Table 3 p.22.</t>
  </si>
  <si>
    <t>2022-09-18 20:18 UTC</t>
  </si>
  <si>
    <t>NHC Fiona TCR — Magueyes Island: sustained 38 kt, gust 52 kt; minimum pressure 987.3 mb at 1854 UTC; Table 3 p.22.</t>
  </si>
  <si>
    <t>NHC Fiona TCR — Rio Cerrillos near Ponce: 32.40 in / 823 mm, highest Puerto Rico storm total; Table 3 p.23/text p.7.</t>
  </si>
  <si>
    <t>2022-09-18 11:27 UTC</t>
  </si>
  <si>
    <t>NHC Fiona TCR — Buck Island: sustained 48 kt, gust 52 kt; Table 3 p.21.</t>
  </si>
  <si>
    <t>NHC Fiona TCR — Frederiksted: report explicitly prints 8.87 in / 255.3 mm. These two values are internally inconsistent, but 255.3 is retained exactly as reported rather than silently correcting the NHC source.</t>
  </si>
  <si>
    <t>NHC Fiona TCR — Samaná El Catey: sustained 36 kt, gust 85 kt, 5.13 in rain; Table 3 p.27.</t>
  </si>
  <si>
    <t>$2.500.000.000</t>
  </si>
  <si>
    <t>NHC Fiona TCR — Guadeloupe: 1 direct death; report describes substantial damage to homes, roads, bridges and infrastructure but gives no separate USD damage total for Guadeloupe. PDF pp.8–9.</t>
  </si>
  <si>
    <t>NHC Fiona TCR — Puerto Rico: 2 direct and 21 indirect deaths. NCEI estimate quoted by NHC = US$2.5 billion in damage. Agricultural losses over US$150 million are reported separately and are not treated as </t>
  </si>
  <si>
    <t>. PDF pp.8–9.</t>
  </si>
  <si>
    <t>NHC Fiona TCR — Dominican Republic: 2 direct deaths; more than 8,500 homes damaged and over 2,000 destroyed, but the report gives no USD damage estimate. PDF pp.8–9.</t>
  </si>
  <si>
    <t>NHC Fiona TCR — Turks and Caicos: no deaths in the report's casualty totals; significant damage described on Grand Turk and other islands, but no USD estimate. PDF p.9.</t>
  </si>
  <si>
    <t>NHC Fiona TCR — Bermuda: no Fiona deaths in the report's complete casualty totals; minor structural/power impacts described, but no USD estimate. PDF pp.8–9.</t>
  </si>
  <si>
    <t>NHC Fiona TCR — Canada: 2 direct deaths and 1 indirect death. About CAD$800 million in insured losses is reported, but this is neither USD nor total economic damage, so economic_damage_overall_usd is left blank. PDF pp.8–10.</t>
  </si>
  <si>
    <t>NHC Tropical Cyclone Report: Hurricane Fiona (AL072022), 23 March 2023 https://www.nhc.noaa.gov/data/tcr/AL072022_Fiona.pdf — genesis as a tropical depression at 0600 UTC 14 Sep (Table 1, PDF p.14); became extratropical 0000 UTC 24 Sep; dissipated 0000 UTC 28 Sep (Table 1, PDF pp.15–16).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</si>
</sst>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h:mm"/>
    <numFmt numFmtId="165" formatCode="yyyy\-mm\-dd\ hh:mm\ &quot;UTC&quot;"/>
    <numFmt numFmtId="166" formatCode="0.0"/>
    <numFmt numFmtId="168" formatCode="[$$-409]#,##0"/>
    <numFmt numFmtId="169" formatCode="#,##0.0"/>
  </numFmts>
  <fonts count="13" x14ac:knownFonts="1">
    <font>
      <sz val="11"/>
      <color theme="1"/>
      <name val="Calibri"/>
      <family val="2"/>
      <scheme val="minor"/>
    </font>
    <font>
      <sz val="10"/>
      <color rgb="FF243746"/>
      <name val="Aptos"/>
    </font>
    <font>
      <b/>
      <sz val="10"/>
      <color rgb="FFFFFFFF"/>
      <name val="Aptos"/>
    </font>
    <font>
      <b/>
      <sz val="20"/>
      <color rgb="FFFFFFFF"/>
      <name val="Aptos"/>
    </font>
    <font>
      <sz val="11"/>
      <color rgb="FF52697A"/>
      <name val="Aptos"/>
    </font>
    <font>
      <b/>
      <sz val="12"/>
      <color rgb="FFFFFFFF"/>
      <name val="Aptos"/>
    </font>
    <font>
      <i/>
      <sz val="10"/>
      <color rgb="FF52697A"/>
      <name val="Aptos"/>
    </font>
    <font>
      <b/>
      <sz val="18"/>
      <color rgb="FFFFFFFF"/>
      <name val="Aptos"/>
    </font>
    <font>
      <sz val="10"/>
      <color rgb="FF167D8D"/>
      <name val="Aptos"/>
    </font>
    <font>
      <sz val="11"/>
      <color rgb="FF000000"/>
      <name val="Calibri"/>
      <family val="2"/>
      <scheme val="minor"/>
    </font>
    <font>
      <sz val="10"/>
      <color theme="1"/>
      <name val="Aptos"/>
    </font>
    <font>
      <b/>
      <sz val="10"/>
      <color rgb="FF243746"/>
      <name val="Aptos"/>
    </font>
    <font>
      <i/>
      <sz val="10"/>
      <color rgb="FF243746"/>
      <name val="Aptos"/>
    </font>
  </fonts>
  <fills count="7">
    <fill>
      <patternFill patternType="none"/>
    </fill>
    <fill>
      <patternFill patternType="gray125"/>
    </fill>
    <fill>
      <patternFill patternType="solid">
        <fgColor rgb="FF17324D"/>
        <bgColor indexed="64"/>
      </patternFill>
    </fill>
    <fill>
      <patternFill patternType="solid">
        <fgColor rgb="FF167D8D"/>
        <bgColor indexed="64"/>
      </patternFill>
    </fill>
    <fill>
      <patternFill patternType="solid">
        <fgColor rgb="FFF8FAFC"/>
        <bgColor indexed="64"/>
      </patternFill>
    </fill>
    <fill>
      <patternFill patternType="solid">
        <fgColor rgb="FFEAF3F5"/>
        <bgColor indexed="64"/>
      </patternFill>
    </fill>
    <fill>
      <patternFill patternType="solid">
        <fgColor rgb="FFFFFFFF"/>
        <bgColor indexed="64"/>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7">
    <xf numFmtId="0" fontId="0" fillId="0" borderId="0" xfId="0"/>
    <xf numFmtId="0" fontId="1" fillId="0" borderId="0" xfId="0" applyFont="1"/>
    <xf numFmtId="0" fontId="2" fillId="2" borderId="0" xfId="0" applyFont="1" applyFill="1" applyAlignment="1">
      <alignment horizontal="left"/>
    </xf>
    <xf numFmtId="0" fontId="1" fillId="4" borderId="1" xfId="0" applyFont="1" applyFill="1" applyBorder="1"/>
    <xf numFmtId="0" fontId="1" fillId="5" borderId="1" xfId="0" applyFont="1" applyFill="1" applyBorder="1"/>
    <xf numFmtId="1" fontId="0" fillId="0" borderId="0" xfId="0" applyNumberFormat="1"/>
    <xf numFmtId="164" fontId="0" fillId="0" borderId="0" xfId="0" applyNumberFormat="1"/>
    <xf numFmtId="1" fontId="1" fillId="5" borderId="1" xfId="0" applyNumberFormat="1" applyFont="1" applyFill="1" applyBorder="1" applyAlignment="1">
      <alignment horizontal="left"/>
    </xf>
    <xf numFmtId="0" fontId="3" fillId="2" borderId="0" xfId="0" applyFont="1" applyFill="1"/>
    <xf numFmtId="0" fontId="4" fillId="0" borderId="0" xfId="0" applyFont="1"/>
    <xf numFmtId="0" fontId="5" fillId="3" borderId="0" xfId="0" applyFont="1" applyFill="1"/>
    <xf numFmtId="0" fontId="6" fillId="0" borderId="0" xfId="0" applyFont="1" applyAlignment="1">
      <alignment wrapText="1"/>
    </xf>
    <xf numFmtId="0" fontId="9" fillId="0" borderId="0" xfId="0" applyFont="1"/>
    <xf numFmtId="0" fontId="9" fillId="0" borderId="0" xfId="0" applyFont="1" applyAlignment="1">
      <alignment wrapText="1"/>
    </xf>
    <xf numFmtId="0" fontId="7" fillId="2" borderId="0" xfId="0" applyFont="1" applyFill="1" applyAlignment="1">
      <alignment horizontal="left" vertical="center"/>
    </xf>
    <xf numFmtId="0" fontId="4" fillId="6" borderId="0" xfId="0" applyFont="1" applyFill="1" applyAlignment="1">
      <alignment horizontal="left" vertical="center"/>
    </xf>
    <xf numFmtId="0" fontId="8" fillId="5" borderId="0" xfId="0" applyFont="1" applyFill="1" applyAlignment="1">
      <alignment horizontal="left" vertical="center"/>
    </xf>
    <xf numFmtId="0" fontId="1" fillId="6" borderId="0" xfId="0" applyFont="1" applyFill="1"/>
    <xf numFmtId="0" fontId="10" fillId="6" borderId="0" xfId="0" applyFont="1" applyFill="1"/>
    <xf numFmtId="0" fontId="7" fillId="2" borderId="0" xfId="0" applyFont="1" applyFill="1" applyAlignment="1">
      <alignment horizontal="left" vertical="center"/>
    </xf>
    <xf numFmtId="0" fontId="4" fillId="6" borderId="0" xfId="0" applyFont="1" applyFill="1" applyAlignment="1">
      <alignment horizontal="left" vertical="center"/>
    </xf>
    <xf numFmtId="0" fontId="8" fillId="5" borderId="0" xfId="0" applyFont="1" applyFill="1" applyAlignment="1">
      <alignment horizontal="left" vertical="center"/>
    </xf>
    <xf numFmtId="0" fontId="2" fillId="3" borderId="1" xfId="0" applyFont="1" applyFill="1" applyBorder="1" applyAlignment="1">
      <alignment horizontal="center" vertical="center" wrapText="1"/>
    </xf>
    <xf numFmtId="0" fontId="1" fillId="6" borderId="1" xfId="0" applyFont="1" applyFill="1" applyBorder="1" applyAlignment="1">
      <alignment horizontal="left" vertical="center" wrapText="1"/>
    </xf>
    <xf numFmtId="1" fontId="1" fillId="6" borderId="1" xfId="0" applyNumberFormat="1" applyFont="1" applyFill="1" applyBorder="1" applyAlignment="1">
      <alignment horizontal="center" vertical="center" wrapText="1"/>
    </xf>
    <xf numFmtId="165"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166" fontId="1" fillId="6" borderId="1" xfId="0" applyNumberFormat="1" applyFont="1" applyFill="1" applyBorder="1" applyAlignment="1">
      <alignment horizontal="right" vertical="center" wrapText="1"/>
    </xf>
    <xf numFmtId="3" fontId="1" fillId="6" borderId="1" xfId="0" applyNumberFormat="1" applyFont="1" applyFill="1" applyBorder="1" applyAlignment="1">
      <alignment horizontal="right" vertical="center" wrapText="1"/>
    </xf>
    <xf numFmtId="168" fontId="1" fillId="6" borderId="1" xfId="0" applyNumberFormat="1" applyFont="1" applyFill="1" applyBorder="1" applyAlignment="1">
      <alignment horizontal="right" vertical="center" wrapText="1"/>
    </xf>
    <xf numFmtId="2" fontId="1" fillId="6" borderId="1" xfId="0" applyNumberFormat="1" applyFont="1" applyFill="1" applyBorder="1" applyAlignment="1">
      <alignment horizontal="right" vertical="center" wrapText="1"/>
    </xf>
    <xf numFmtId="164" fontId="1" fillId="6" borderId="1" xfId="0" applyNumberFormat="1" applyFont="1" applyFill="1" applyBorder="1" applyAlignment="1">
      <alignment horizontal="center" vertical="center" wrapText="1"/>
    </xf>
    <xf numFmtId="1" fontId="1" fillId="6" borderId="1" xfId="0" applyNumberFormat="1" applyFont="1" applyFill="1" applyBorder="1" applyAlignment="1">
      <alignment horizontal="right" vertical="center" wrapText="1"/>
    </xf>
    <xf numFmtId="169" fontId="1" fillId="6" borderId="1" xfId="0" applyNumberFormat="1" applyFont="1" applyFill="1" applyBorder="1" applyAlignment="1">
      <alignment horizontal="right" vertical="center" wrapText="1"/>
    </xf>
    <xf numFmtId="0" fontId="11" fillId="6" borderId="1" xfId="0" applyFont="1" applyFill="1" applyBorder="1" applyAlignment="1">
      <alignment horizontal="left" vertical="center" wrapText="1"/>
    </xf>
    <xf numFmtId="169" fontId="11" fillId="6" borderId="1" xfId="0" applyNumberFormat="1" applyFont="1" applyFill="1" applyBorder="1" applyAlignment="1">
      <alignment horizontal="right" vertical="center" wrapText="1"/>
    </xf>
    <xf numFmtId="0" fontId="12"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9741F41-D9FA-AB40-B07A-953207E89602}">
  <we:reference id="wa200010725" version="1.0.0.1" store="en-US" storeType="OMEX"/>
  <we:alternateReferences>
    <we:reference id="wa200010725" version="1.0.0.1" store="en-US" storeType="OMEX"/>
  </we:alternateReferences>
  <we:properties>
    <we:property name="claude.fileId" value="&quot;2233e5cf-b720-4bb7-8076-02b18b89ff3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24D"/>
  </sheetPr>
  <dimension ref="A1:H21"/>
  <sheetViews>
    <sheetView workbookViewId="0">
      <selection activeCell="H13" sqref="H13"/>
    </sheetView>
  </sheetViews>
  <sheetFormatPr baseColWidth="10" defaultColWidth="8.83203125" defaultRowHeight="15" x14ac:dyDescent="0.2"/>
  <cols>
    <col min="1" max="1" width="22.83203125" customWidth="1"/>
    <col min="2" max="2" width="24.6640625" customWidth="1"/>
    <col min="3" max="3" width="21.83203125" customWidth="1"/>
    <col min="4" max="4" width="17.1640625" customWidth="1"/>
    <col min="5" max="5" width="35.33203125" customWidth="1"/>
    <col min="6" max="6" width="30.5" customWidth="1"/>
    <col min="7" max="8" width="3.5" customWidth="1"/>
  </cols>
  <sheetData>
    <row r="1" spans="1:8" ht="27" x14ac:dyDescent="0.35">
      <c r="A1" s="8" t="s">
        <v>0</v>
      </c>
      <c r="B1" s="8"/>
      <c r="C1" s="8"/>
      <c r="D1" s="8"/>
      <c r="E1" s="8"/>
      <c r="F1" s="8"/>
      <c r="G1" s="8"/>
      <c r="H1" s="8"/>
    </row>
    <row r="2" spans="1:8" x14ac:dyDescent="0.2">
      <c r="A2" s="9" t="s">
        <v>1</v>
      </c>
      <c r="B2" s="9"/>
      <c r="C2" s="9"/>
      <c r="D2" s="9"/>
      <c r="E2" s="9"/>
      <c r="F2" s="9"/>
      <c r="G2" s="9"/>
      <c r="H2" s="9"/>
    </row>
    <row r="3" spans="1:8" x14ac:dyDescent="0.2">
      <c r="A3" s="1"/>
      <c r="B3" s="1"/>
      <c r="C3" s="1"/>
      <c r="D3" s="1"/>
      <c r="E3" s="1"/>
      <c r="F3" s="1"/>
      <c r="G3" s="1"/>
      <c r="H3" s="1"/>
    </row>
    <row r="4" spans="1:8" ht="16" x14ac:dyDescent="0.2">
      <c r="A4" s="10" t="s">
        <v>2</v>
      </c>
      <c r="B4" s="10"/>
      <c r="C4" s="10"/>
      <c r="D4" s="10"/>
      <c r="E4" s="10"/>
      <c r="F4" s="10"/>
      <c r="G4" s="10"/>
      <c r="H4" s="10"/>
    </row>
    <row r="5" spans="1:8" x14ac:dyDescent="0.2">
      <c r="A5" s="1"/>
      <c r="B5" s="1"/>
      <c r="C5" s="1"/>
      <c r="D5" s="1"/>
      <c r="E5" s="1"/>
      <c r="F5" s="1"/>
      <c r="G5" s="1"/>
      <c r="H5" s="1"/>
    </row>
    <row r="6" spans="1:8" x14ac:dyDescent="0.2">
      <c r="A6" s="2" t="s">
        <v>3</v>
      </c>
      <c r="B6" s="2" t="s">
        <v>4</v>
      </c>
      <c r="C6" s="2" t="s">
        <v>5</v>
      </c>
      <c r="D6" s="2" t="s">
        <v>6</v>
      </c>
      <c r="E6" s="2" t="s">
        <v>7</v>
      </c>
      <c r="F6" s="2" t="s">
        <v>8</v>
      </c>
      <c r="G6" s="1"/>
      <c r="H6" s="1"/>
    </row>
    <row r="7" spans="1:8" x14ac:dyDescent="0.2">
      <c r="A7" s="3" t="s">
        <v>9</v>
      </c>
      <c r="B7" s="3" t="s">
        <v>10</v>
      </c>
      <c r="C7" s="3" t="s">
        <v>11</v>
      </c>
      <c r="D7" s="3" t="s">
        <v>12</v>
      </c>
      <c r="E7" s="3" t="s">
        <v>13</v>
      </c>
      <c r="F7" s="3" t="s">
        <v>14</v>
      </c>
      <c r="G7" s="1"/>
      <c r="H7" s="1"/>
    </row>
    <row r="8" spans="1:8" x14ac:dyDescent="0.2">
      <c r="A8" s="3" t="s">
        <v>15</v>
      </c>
      <c r="B8" s="3" t="s">
        <v>16</v>
      </c>
      <c r="C8" s="3" t="s">
        <v>11</v>
      </c>
      <c r="D8" s="3" t="s">
        <v>12</v>
      </c>
      <c r="E8" s="3" t="s">
        <v>17</v>
      </c>
      <c r="F8" s="3" t="s">
        <v>14</v>
      </c>
      <c r="G8" s="1"/>
      <c r="H8" s="1"/>
    </row>
    <row r="9" spans="1:8" x14ac:dyDescent="0.2">
      <c r="A9" s="3" t="s">
        <v>11</v>
      </c>
      <c r="B9" s="3" t="s">
        <v>18</v>
      </c>
      <c r="C9" s="3" t="s">
        <v>19</v>
      </c>
      <c r="D9" s="3" t="s">
        <v>12</v>
      </c>
      <c r="E9" s="3" t="s">
        <v>20</v>
      </c>
      <c r="F9" s="3" t="s">
        <v>14</v>
      </c>
      <c r="G9" s="1"/>
      <c r="H9" s="1"/>
    </row>
    <row r="10" spans="1:8" x14ac:dyDescent="0.2">
      <c r="A10" s="1"/>
      <c r="B10" s="1"/>
      <c r="C10" s="1"/>
      <c r="D10" s="1"/>
      <c r="E10" s="1"/>
      <c r="F10" s="1"/>
      <c r="G10" s="1"/>
      <c r="H10" s="1"/>
    </row>
    <row r="11" spans="1:8" x14ac:dyDescent="0.2">
      <c r="A11" s="1"/>
      <c r="B11" s="1"/>
      <c r="C11" s="1"/>
      <c r="D11" s="1"/>
      <c r="E11" s="1"/>
      <c r="F11" s="1"/>
      <c r="G11" s="1"/>
      <c r="H11" s="1"/>
    </row>
    <row r="12" spans="1:8" x14ac:dyDescent="0.2">
      <c r="A12" s="2" t="s">
        <v>21</v>
      </c>
      <c r="B12" s="2" t="s">
        <v>22</v>
      </c>
      <c r="C12" s="2" t="s">
        <v>23</v>
      </c>
      <c r="D12" s="2" t="s">
        <v>24</v>
      </c>
      <c r="E12" s="2" t="s">
        <v>25</v>
      </c>
      <c r="F12" s="2" t="s">
        <v>26</v>
      </c>
      <c r="G12" s="1"/>
      <c r="H12" s="1"/>
    </row>
    <row r="13" spans="1:8" x14ac:dyDescent="0.2">
      <c r="A13" s="4" t="s">
        <v>9</v>
      </c>
      <c r="B13" s="4" t="s">
        <v>27</v>
      </c>
      <c r="C13" s="4" t="s">
        <v>28</v>
      </c>
      <c r="D13" s="7">
        <v>5</v>
      </c>
      <c r="E13" s="4" t="s">
        <v>29</v>
      </c>
      <c r="F13" s="4" t="s">
        <v>30</v>
      </c>
      <c r="G13" s="1"/>
      <c r="H13" s="1"/>
    </row>
    <row r="14" spans="1:8" x14ac:dyDescent="0.2">
      <c r="A14" s="4" t="s">
        <v>11</v>
      </c>
      <c r="B14" s="4" t="s">
        <v>31</v>
      </c>
      <c r="C14" s="4" t="s">
        <v>32</v>
      </c>
      <c r="D14" s="7">
        <v>9</v>
      </c>
      <c r="E14" s="4" t="s">
        <v>33</v>
      </c>
      <c r="F14" s="4" t="s">
        <v>34</v>
      </c>
      <c r="G14" s="1"/>
      <c r="H14" s="1"/>
    </row>
    <row r="15" spans="1:8" x14ac:dyDescent="0.2">
      <c r="A15" s="4" t="s">
        <v>19</v>
      </c>
      <c r="B15" s="4" t="s">
        <v>35</v>
      </c>
      <c r="C15" s="4" t="s">
        <v>36</v>
      </c>
      <c r="D15" s="7">
        <v>7</v>
      </c>
      <c r="E15" s="4" t="s">
        <v>37</v>
      </c>
      <c r="F15" s="4" t="s">
        <v>38</v>
      </c>
      <c r="G15" s="1"/>
      <c r="H15" s="1"/>
    </row>
    <row r="16" spans="1:8" x14ac:dyDescent="0.2">
      <c r="A16" s="4" t="s">
        <v>15</v>
      </c>
      <c r="B16" s="4" t="s">
        <v>39</v>
      </c>
      <c r="C16" s="4" t="s">
        <v>40</v>
      </c>
      <c r="D16" s="7">
        <v>6</v>
      </c>
      <c r="E16" s="4" t="s">
        <v>41</v>
      </c>
      <c r="F16" s="4" t="s">
        <v>42</v>
      </c>
      <c r="G16" s="1"/>
      <c r="H16" s="1"/>
    </row>
    <row r="17" spans="1:8" x14ac:dyDescent="0.2">
      <c r="A17" s="1"/>
      <c r="B17" s="1"/>
      <c r="C17" s="1"/>
      <c r="D17" s="1"/>
      <c r="E17" s="1"/>
      <c r="F17" s="1"/>
      <c r="G17" s="1"/>
      <c r="H17" s="1"/>
    </row>
    <row r="18" spans="1:8" x14ac:dyDescent="0.2">
      <c r="A18" s="1"/>
      <c r="B18" s="1"/>
      <c r="C18" s="1"/>
      <c r="D18" s="1"/>
      <c r="E18" s="1"/>
      <c r="F18" s="1"/>
      <c r="G18" s="1"/>
      <c r="H18" s="1"/>
    </row>
    <row r="19" spans="1:8" x14ac:dyDescent="0.2">
      <c r="A19" s="1"/>
      <c r="B19" s="1"/>
      <c r="C19" s="1"/>
      <c r="D19" s="1"/>
      <c r="E19" s="1"/>
      <c r="F19" s="1"/>
      <c r="G19" s="1"/>
      <c r="H19" s="1"/>
    </row>
    <row r="20" spans="1:8" ht="16" x14ac:dyDescent="0.2">
      <c r="A20" s="10" t="s">
        <v>43</v>
      </c>
      <c r="B20" s="10"/>
      <c r="C20" s="10"/>
      <c r="D20" s="10"/>
      <c r="E20" s="10"/>
      <c r="F20" s="10"/>
      <c r="G20" s="10"/>
      <c r="H20" s="10"/>
    </row>
    <row r="21" spans="1:8" x14ac:dyDescent="0.2">
      <c r="A21" s="11" t="s">
        <v>44</v>
      </c>
      <c r="B21" s="11"/>
      <c r="C21" s="11"/>
      <c r="D21" s="11"/>
      <c r="E21" s="11"/>
      <c r="F21" s="11"/>
      <c r="G21" s="11"/>
      <c r="H21" s="11"/>
    </row>
  </sheetData>
  <mergeCells count="5">
    <mergeCell ref="A1:H1"/>
    <mergeCell ref="A2:H2"/>
    <mergeCell ref="A4:H4"/>
    <mergeCell ref="A20:H20"/>
    <mergeCell ref="A21:H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981B7-0D0C-4CEE-A6F7-CEC5D129CA24}">
  <dimension ref="A1:E1000"/>
  <sheetViews>
    <sheetView workbookViewId="0">
      <pane ySplit="5" topLeftCell="A6" activePane="bottomLeft" state="frozen"/>
      <selection pane="bottomLeft" activeCell="D21" sqref="D21"/>
    </sheetView>
  </sheetViews>
  <sheetFormatPr baseColWidth="10" defaultColWidth="8.83203125" defaultRowHeight="15" x14ac:dyDescent="0.2"/>
  <cols>
    <col min="1" max="1" width="18.33203125" customWidth="1"/>
    <col min="2" max="2" width="20" customWidth="1"/>
    <col min="3" max="4" width="25" customWidth="1"/>
    <col min="5" max="5" width="100" customWidth="1"/>
  </cols>
  <sheetData>
    <row r="1" spans="1:5" ht="32.25" customHeight="1" x14ac:dyDescent="0.2">
      <c r="A1" s="14" t="s">
        <v>45</v>
      </c>
      <c r="B1" s="14"/>
      <c r="C1" s="14"/>
      <c r="D1" s="14"/>
      <c r="E1" s="14"/>
    </row>
    <row r="2" spans="1:5" ht="21.75" customHeight="1" x14ac:dyDescent="0.2">
      <c r="A2" s="15" t="s">
        <v>46</v>
      </c>
      <c r="B2" s="15"/>
      <c r="C2" s="15"/>
      <c r="D2" s="15"/>
      <c r="E2" s="15"/>
    </row>
    <row r="3" spans="1:5" ht="21.75" customHeight="1" x14ac:dyDescent="0.2">
      <c r="A3" s="16" t="s">
        <v>47</v>
      </c>
      <c r="B3" s="16"/>
      <c r="C3" s="16"/>
      <c r="D3" s="16"/>
      <c r="E3" s="16"/>
    </row>
    <row r="4" spans="1:5" ht="9" customHeight="1" x14ac:dyDescent="0.2">
      <c r="A4" s="17"/>
      <c r="B4" s="17"/>
      <c r="C4" s="17"/>
      <c r="D4" s="17"/>
      <c r="E4" s="18"/>
    </row>
    <row r="5" spans="1:5" ht="30" customHeight="1" x14ac:dyDescent="0.2">
      <c r="A5" s="22" t="s">
        <v>28</v>
      </c>
      <c r="B5" s="22" t="s">
        <v>48</v>
      </c>
      <c r="C5" s="22" t="s">
        <v>49</v>
      </c>
      <c r="D5" s="22" t="s">
        <v>50</v>
      </c>
      <c r="E5" s="22" t="s">
        <v>51</v>
      </c>
    </row>
    <row r="6" spans="1:5" ht="75" customHeight="1" x14ac:dyDescent="0.2">
      <c r="A6" s="24">
        <v>0</v>
      </c>
      <c r="B6" s="23" t="s">
        <v>52</v>
      </c>
      <c r="C6" s="25">
        <v>45951.25</v>
      </c>
      <c r="D6" s="25">
        <v>45962.5</v>
      </c>
      <c r="E6" s="23" t="s">
        <v>98</v>
      </c>
    </row>
    <row r="7" spans="1:5" ht="75" customHeight="1" x14ac:dyDescent="0.2">
      <c r="A7" s="24">
        <v>1</v>
      </c>
      <c r="B7" s="23" t="s">
        <v>53</v>
      </c>
      <c r="C7" s="25" t="s">
        <v>204</v>
      </c>
      <c r="D7" s="25" t="s">
        <v>205</v>
      </c>
      <c r="E7" s="23" t="s">
        <v>206</v>
      </c>
    </row>
    <row r="8" spans="1:5" ht="75" customHeight="1" x14ac:dyDescent="0.2">
      <c r="A8" s="26">
        <v>2</v>
      </c>
      <c r="B8" s="23" t="s">
        <v>343</v>
      </c>
      <c r="C8" s="25" t="s">
        <v>344</v>
      </c>
      <c r="D8" s="25" t="s">
        <v>346</v>
      </c>
      <c r="E8" s="23" t="s">
        <v>418</v>
      </c>
    </row>
    <row r="10" spans="1:5" x14ac:dyDescent="0.2">
      <c r="A10" s="5"/>
      <c r="C10" s="6"/>
      <c r="D10" s="6"/>
    </row>
    <row r="11" spans="1:5" x14ac:dyDescent="0.2">
      <c r="A11" s="5"/>
      <c r="C11" s="6"/>
      <c r="D11" s="6"/>
    </row>
    <row r="12" spans="1:5" x14ac:dyDescent="0.2">
      <c r="A12" s="5"/>
      <c r="C12" s="6"/>
      <c r="D12" s="6"/>
    </row>
    <row r="13" spans="1:5" x14ac:dyDescent="0.2">
      <c r="A13" s="5"/>
      <c r="C13" s="6"/>
      <c r="D13" s="6"/>
    </row>
    <row r="14" spans="1:5" x14ac:dyDescent="0.2">
      <c r="A14" s="5"/>
      <c r="C14" s="6"/>
      <c r="D14" s="6"/>
    </row>
    <row r="15" spans="1:5" x14ac:dyDescent="0.2">
      <c r="A15" s="5"/>
      <c r="C15" s="6"/>
      <c r="D15" s="6"/>
    </row>
    <row r="16" spans="1:5" x14ac:dyDescent="0.2">
      <c r="A16" s="5"/>
      <c r="C16" s="6"/>
      <c r="D16" s="6"/>
    </row>
    <row r="17" spans="1:4" x14ac:dyDescent="0.2">
      <c r="A17" s="5"/>
      <c r="C17" s="6"/>
      <c r="D17" s="6"/>
    </row>
    <row r="18" spans="1:4" x14ac:dyDescent="0.2">
      <c r="A18" s="5"/>
      <c r="C18" s="6"/>
      <c r="D18" s="6"/>
    </row>
    <row r="19" spans="1:4" x14ac:dyDescent="0.2">
      <c r="A19" s="5"/>
      <c r="C19" s="6"/>
      <c r="D19" s="6"/>
    </row>
    <row r="20" spans="1:4" x14ac:dyDescent="0.2">
      <c r="A20" s="5"/>
      <c r="C20" s="6"/>
      <c r="D20" s="6"/>
    </row>
    <row r="21" spans="1:4" x14ac:dyDescent="0.2">
      <c r="A21" s="5"/>
      <c r="C21" s="6"/>
      <c r="D21" s="6"/>
    </row>
    <row r="22" spans="1:4" x14ac:dyDescent="0.2">
      <c r="A22" s="5"/>
      <c r="C22" s="6"/>
      <c r="D22" s="6"/>
    </row>
    <row r="23" spans="1:4" x14ac:dyDescent="0.2">
      <c r="A23" s="5"/>
      <c r="C23" s="6"/>
      <c r="D23" s="6"/>
    </row>
    <row r="24" spans="1:4" x14ac:dyDescent="0.2">
      <c r="A24" s="5"/>
      <c r="C24" s="6"/>
      <c r="D24" s="6"/>
    </row>
    <row r="25" spans="1:4" x14ac:dyDescent="0.2">
      <c r="A25" s="5"/>
      <c r="C25" s="6"/>
      <c r="D25" s="6"/>
    </row>
    <row r="26" spans="1:4" x14ac:dyDescent="0.2">
      <c r="A26" s="5"/>
      <c r="C26" s="6"/>
      <c r="D26" s="6"/>
    </row>
    <row r="27" spans="1:4" x14ac:dyDescent="0.2">
      <c r="A27" s="5"/>
      <c r="C27" s="6"/>
      <c r="D27" s="6"/>
    </row>
    <row r="28" spans="1:4" x14ac:dyDescent="0.2">
      <c r="A28" s="5"/>
      <c r="C28" s="6"/>
      <c r="D28" s="6"/>
    </row>
    <row r="29" spans="1:4" x14ac:dyDescent="0.2">
      <c r="A29" s="5"/>
      <c r="C29" s="6"/>
      <c r="D29" s="6"/>
    </row>
    <row r="30" spans="1:4" x14ac:dyDescent="0.2">
      <c r="A30" s="5"/>
      <c r="C30" s="6"/>
      <c r="D30" s="6"/>
    </row>
    <row r="31" spans="1:4" x14ac:dyDescent="0.2">
      <c r="A31" s="5"/>
      <c r="C31" s="6"/>
      <c r="D31" s="6"/>
    </row>
    <row r="32" spans="1:4" x14ac:dyDescent="0.2">
      <c r="A32" s="5"/>
      <c r="C32" s="6"/>
      <c r="D32" s="6"/>
    </row>
    <row r="33" spans="1:4" x14ac:dyDescent="0.2">
      <c r="A33" s="5"/>
      <c r="C33" s="6"/>
      <c r="D33" s="6"/>
    </row>
    <row r="34" spans="1:4" x14ac:dyDescent="0.2">
      <c r="A34" s="5"/>
      <c r="C34" s="6"/>
      <c r="D34" s="6"/>
    </row>
    <row r="35" spans="1:4" x14ac:dyDescent="0.2">
      <c r="A35" s="5"/>
      <c r="C35" s="6"/>
      <c r="D35" s="6"/>
    </row>
    <row r="36" spans="1:4" x14ac:dyDescent="0.2">
      <c r="A36" s="5"/>
      <c r="C36" s="6"/>
      <c r="D36" s="6"/>
    </row>
    <row r="37" spans="1:4" x14ac:dyDescent="0.2">
      <c r="A37" s="5"/>
      <c r="C37" s="6"/>
      <c r="D37" s="6"/>
    </row>
    <row r="38" spans="1:4" x14ac:dyDescent="0.2">
      <c r="A38" s="5"/>
      <c r="C38" s="6"/>
      <c r="D38" s="6"/>
    </row>
    <row r="39" spans="1:4" x14ac:dyDescent="0.2">
      <c r="A39" s="5"/>
      <c r="C39" s="6"/>
      <c r="D39" s="6"/>
    </row>
    <row r="40" spans="1:4" x14ac:dyDescent="0.2">
      <c r="A40" s="5"/>
      <c r="C40" s="6"/>
      <c r="D40" s="6"/>
    </row>
    <row r="41" spans="1:4" x14ac:dyDescent="0.2">
      <c r="A41" s="5"/>
      <c r="C41" s="6"/>
      <c r="D41" s="6"/>
    </row>
    <row r="42" spans="1:4" x14ac:dyDescent="0.2">
      <c r="A42" s="5"/>
      <c r="C42" s="6"/>
      <c r="D42" s="6"/>
    </row>
    <row r="43" spans="1:4" x14ac:dyDescent="0.2">
      <c r="A43" s="5"/>
      <c r="C43" s="6"/>
      <c r="D43" s="6"/>
    </row>
    <row r="44" spans="1:4" x14ac:dyDescent="0.2">
      <c r="A44" s="5"/>
      <c r="C44" s="6"/>
      <c r="D44" s="6"/>
    </row>
    <row r="45" spans="1:4" x14ac:dyDescent="0.2">
      <c r="A45" s="5"/>
      <c r="C45" s="6"/>
      <c r="D45" s="6"/>
    </row>
    <row r="46" spans="1:4" x14ac:dyDescent="0.2">
      <c r="A46" s="5"/>
      <c r="C46" s="6"/>
      <c r="D46" s="6"/>
    </row>
    <row r="47" spans="1:4" x14ac:dyDescent="0.2">
      <c r="A47" s="5"/>
      <c r="C47" s="6"/>
      <c r="D47" s="6"/>
    </row>
    <row r="48" spans="1:4" x14ac:dyDescent="0.2">
      <c r="A48" s="5"/>
      <c r="C48" s="6"/>
      <c r="D48" s="6"/>
    </row>
    <row r="49" spans="1:4" x14ac:dyDescent="0.2">
      <c r="A49" s="5"/>
      <c r="C49" s="6"/>
      <c r="D49" s="6"/>
    </row>
    <row r="50" spans="1:4" x14ac:dyDescent="0.2">
      <c r="A50" s="5"/>
      <c r="C50" s="6"/>
      <c r="D50" s="6"/>
    </row>
    <row r="51" spans="1:4" x14ac:dyDescent="0.2">
      <c r="A51" s="5"/>
      <c r="C51" s="6"/>
      <c r="D51" s="6"/>
    </row>
    <row r="52" spans="1:4" x14ac:dyDescent="0.2">
      <c r="A52" s="5"/>
      <c r="C52" s="6"/>
      <c r="D52" s="6"/>
    </row>
    <row r="53" spans="1:4" x14ac:dyDescent="0.2">
      <c r="A53" s="5"/>
      <c r="C53" s="6"/>
      <c r="D53" s="6"/>
    </row>
    <row r="54" spans="1:4" x14ac:dyDescent="0.2">
      <c r="A54" s="5"/>
      <c r="C54" s="6"/>
      <c r="D54" s="6"/>
    </row>
    <row r="55" spans="1:4" x14ac:dyDescent="0.2">
      <c r="A55" s="5"/>
      <c r="C55" s="6"/>
      <c r="D55" s="6"/>
    </row>
    <row r="56" spans="1:4" x14ac:dyDescent="0.2">
      <c r="A56" s="5"/>
      <c r="C56" s="6"/>
      <c r="D56" s="6"/>
    </row>
    <row r="57" spans="1:4" x14ac:dyDescent="0.2">
      <c r="A57" s="5"/>
      <c r="C57" s="6"/>
      <c r="D57" s="6"/>
    </row>
    <row r="58" spans="1:4" x14ac:dyDescent="0.2">
      <c r="A58" s="5"/>
      <c r="C58" s="6"/>
      <c r="D58" s="6"/>
    </row>
    <row r="59" spans="1:4" x14ac:dyDescent="0.2">
      <c r="A59" s="5"/>
      <c r="C59" s="6"/>
      <c r="D59" s="6"/>
    </row>
    <row r="60" spans="1:4" x14ac:dyDescent="0.2">
      <c r="A60" s="5"/>
      <c r="C60" s="6"/>
      <c r="D60" s="6"/>
    </row>
    <row r="61" spans="1:4" x14ac:dyDescent="0.2">
      <c r="A61" s="5"/>
      <c r="C61" s="6"/>
      <c r="D61" s="6"/>
    </row>
    <row r="62" spans="1:4" x14ac:dyDescent="0.2">
      <c r="A62" s="5"/>
      <c r="C62" s="6"/>
      <c r="D62" s="6"/>
    </row>
    <row r="63" spans="1:4" x14ac:dyDescent="0.2">
      <c r="A63" s="5"/>
      <c r="C63" s="6"/>
      <c r="D63" s="6"/>
    </row>
    <row r="64" spans="1:4" x14ac:dyDescent="0.2">
      <c r="A64" s="5"/>
      <c r="C64" s="6"/>
      <c r="D64" s="6"/>
    </row>
    <row r="65" spans="1:4" x14ac:dyDescent="0.2">
      <c r="A65" s="5"/>
      <c r="C65" s="6"/>
      <c r="D65" s="6"/>
    </row>
    <row r="66" spans="1:4" x14ac:dyDescent="0.2">
      <c r="A66" s="5"/>
      <c r="C66" s="6"/>
      <c r="D66" s="6"/>
    </row>
    <row r="67" spans="1:4" x14ac:dyDescent="0.2">
      <c r="A67" s="5"/>
      <c r="C67" s="6"/>
      <c r="D67" s="6"/>
    </row>
    <row r="68" spans="1:4" x14ac:dyDescent="0.2">
      <c r="A68" s="5"/>
      <c r="C68" s="6"/>
      <c r="D68" s="6"/>
    </row>
    <row r="69" spans="1:4" x14ac:dyDescent="0.2">
      <c r="A69" s="5"/>
      <c r="C69" s="6"/>
      <c r="D69" s="6"/>
    </row>
    <row r="70" spans="1:4" x14ac:dyDescent="0.2">
      <c r="A70" s="5"/>
      <c r="C70" s="6"/>
      <c r="D70" s="6"/>
    </row>
    <row r="71" spans="1:4" x14ac:dyDescent="0.2">
      <c r="A71" s="5"/>
      <c r="C71" s="6"/>
      <c r="D71" s="6"/>
    </row>
    <row r="72" spans="1:4" x14ac:dyDescent="0.2">
      <c r="A72" s="5"/>
      <c r="C72" s="6"/>
      <c r="D72" s="6"/>
    </row>
    <row r="73" spans="1:4" x14ac:dyDescent="0.2">
      <c r="A73" s="5"/>
      <c r="C73" s="6"/>
      <c r="D73" s="6"/>
    </row>
    <row r="74" spans="1:4" x14ac:dyDescent="0.2">
      <c r="A74" s="5"/>
      <c r="C74" s="6"/>
      <c r="D74" s="6"/>
    </row>
    <row r="75" spans="1:4" x14ac:dyDescent="0.2">
      <c r="A75" s="5"/>
      <c r="C75" s="6"/>
      <c r="D75" s="6"/>
    </row>
    <row r="76" spans="1:4" x14ac:dyDescent="0.2">
      <c r="A76" s="5"/>
      <c r="C76" s="6"/>
      <c r="D76" s="6"/>
    </row>
    <row r="77" spans="1:4" x14ac:dyDescent="0.2">
      <c r="A77" s="5"/>
      <c r="C77" s="6"/>
      <c r="D77" s="6"/>
    </row>
    <row r="78" spans="1:4" x14ac:dyDescent="0.2">
      <c r="A78" s="5"/>
      <c r="C78" s="6"/>
      <c r="D78" s="6"/>
    </row>
    <row r="79" spans="1:4" x14ac:dyDescent="0.2">
      <c r="A79" s="5"/>
      <c r="C79" s="6"/>
      <c r="D79" s="6"/>
    </row>
    <row r="80" spans="1:4" x14ac:dyDescent="0.2">
      <c r="A80" s="5"/>
      <c r="C80" s="6"/>
      <c r="D80" s="6"/>
    </row>
    <row r="81" spans="1:4" x14ac:dyDescent="0.2">
      <c r="A81" s="5"/>
      <c r="C81" s="6"/>
      <c r="D81" s="6"/>
    </row>
    <row r="82" spans="1:4" x14ac:dyDescent="0.2">
      <c r="A82" s="5"/>
      <c r="C82" s="6"/>
      <c r="D82" s="6"/>
    </row>
    <row r="83" spans="1:4" x14ac:dyDescent="0.2">
      <c r="A83" s="5"/>
      <c r="C83" s="6"/>
      <c r="D83" s="6"/>
    </row>
    <row r="84" spans="1:4" x14ac:dyDescent="0.2">
      <c r="A84" s="5"/>
      <c r="C84" s="6"/>
      <c r="D84" s="6"/>
    </row>
    <row r="85" spans="1:4" x14ac:dyDescent="0.2">
      <c r="A85" s="5"/>
      <c r="C85" s="6"/>
      <c r="D85" s="6"/>
    </row>
    <row r="86" spans="1:4" x14ac:dyDescent="0.2">
      <c r="A86" s="5"/>
      <c r="C86" s="6"/>
      <c r="D86" s="6"/>
    </row>
    <row r="87" spans="1:4" x14ac:dyDescent="0.2">
      <c r="A87" s="5"/>
      <c r="C87" s="6"/>
      <c r="D87" s="6"/>
    </row>
    <row r="88" spans="1:4" x14ac:dyDescent="0.2">
      <c r="A88" s="5"/>
      <c r="C88" s="6"/>
      <c r="D88" s="6"/>
    </row>
    <row r="89" spans="1:4" x14ac:dyDescent="0.2">
      <c r="A89" s="5"/>
      <c r="C89" s="6"/>
      <c r="D89" s="6"/>
    </row>
    <row r="90" spans="1:4" x14ac:dyDescent="0.2">
      <c r="A90" s="5"/>
      <c r="C90" s="6"/>
      <c r="D90" s="6"/>
    </row>
    <row r="91" spans="1:4" x14ac:dyDescent="0.2">
      <c r="A91" s="5"/>
      <c r="C91" s="6"/>
      <c r="D91" s="6"/>
    </row>
    <row r="92" spans="1:4" x14ac:dyDescent="0.2">
      <c r="A92" s="5"/>
      <c r="C92" s="6"/>
      <c r="D92" s="6"/>
    </row>
    <row r="93" spans="1:4" x14ac:dyDescent="0.2">
      <c r="A93" s="5"/>
      <c r="C93" s="6"/>
      <c r="D93" s="6"/>
    </row>
    <row r="94" spans="1:4" x14ac:dyDescent="0.2">
      <c r="A94" s="5"/>
      <c r="C94" s="6"/>
      <c r="D94" s="6"/>
    </row>
    <row r="95" spans="1:4" x14ac:dyDescent="0.2">
      <c r="A95" s="5"/>
      <c r="C95" s="6"/>
      <c r="D95" s="6"/>
    </row>
    <row r="96" spans="1:4" x14ac:dyDescent="0.2">
      <c r="A96" s="5"/>
      <c r="C96" s="6"/>
      <c r="D96" s="6"/>
    </row>
    <row r="97" spans="1:4" x14ac:dyDescent="0.2">
      <c r="A97" s="5"/>
      <c r="C97" s="6"/>
      <c r="D97" s="6"/>
    </row>
    <row r="98" spans="1:4" x14ac:dyDescent="0.2">
      <c r="A98" s="5"/>
      <c r="C98" s="6"/>
      <c r="D98" s="6"/>
    </row>
    <row r="99" spans="1:4" x14ac:dyDescent="0.2">
      <c r="A99" s="5"/>
      <c r="C99" s="6"/>
      <c r="D99" s="6"/>
    </row>
    <row r="100" spans="1:4" x14ac:dyDescent="0.2">
      <c r="A100" s="5"/>
      <c r="C100" s="6"/>
      <c r="D100" s="6"/>
    </row>
    <row r="101" spans="1:4" x14ac:dyDescent="0.2">
      <c r="A101" s="5"/>
      <c r="C101" s="6"/>
      <c r="D101" s="6"/>
    </row>
    <row r="102" spans="1:4" x14ac:dyDescent="0.2">
      <c r="A102" s="5"/>
      <c r="C102" s="6"/>
      <c r="D102" s="6"/>
    </row>
    <row r="103" spans="1:4" x14ac:dyDescent="0.2">
      <c r="A103" s="5"/>
      <c r="C103" s="6"/>
      <c r="D103" s="6"/>
    </row>
    <row r="104" spans="1:4" x14ac:dyDescent="0.2">
      <c r="A104" s="5"/>
      <c r="C104" s="6"/>
      <c r="D104" s="6"/>
    </row>
    <row r="105" spans="1:4" x14ac:dyDescent="0.2">
      <c r="A105" s="5"/>
      <c r="C105" s="6"/>
      <c r="D105" s="6"/>
    </row>
    <row r="106" spans="1:4" x14ac:dyDescent="0.2">
      <c r="A106" s="5"/>
      <c r="C106" s="6"/>
      <c r="D106" s="6"/>
    </row>
    <row r="107" spans="1:4" x14ac:dyDescent="0.2">
      <c r="A107" s="5"/>
      <c r="C107" s="6"/>
      <c r="D107" s="6"/>
    </row>
    <row r="108" spans="1:4" x14ac:dyDescent="0.2">
      <c r="A108" s="5"/>
      <c r="C108" s="6"/>
      <c r="D108" s="6"/>
    </row>
    <row r="109" spans="1:4" x14ac:dyDescent="0.2">
      <c r="A109" s="5"/>
      <c r="C109" s="6"/>
      <c r="D109" s="6"/>
    </row>
    <row r="110" spans="1:4" x14ac:dyDescent="0.2">
      <c r="A110" s="5"/>
      <c r="C110" s="6"/>
      <c r="D110" s="6"/>
    </row>
    <row r="111" spans="1:4" x14ac:dyDescent="0.2">
      <c r="A111" s="5"/>
      <c r="C111" s="6"/>
      <c r="D111" s="6"/>
    </row>
    <row r="112" spans="1:4" x14ac:dyDescent="0.2">
      <c r="A112" s="5"/>
      <c r="C112" s="6"/>
      <c r="D112" s="6"/>
    </row>
    <row r="113" spans="1:4" x14ac:dyDescent="0.2">
      <c r="A113" s="5"/>
      <c r="C113" s="6"/>
      <c r="D113" s="6"/>
    </row>
    <row r="114" spans="1:4" x14ac:dyDescent="0.2">
      <c r="A114" s="5"/>
      <c r="C114" s="6"/>
      <c r="D114" s="6"/>
    </row>
    <row r="115" spans="1:4" x14ac:dyDescent="0.2">
      <c r="A115" s="5"/>
      <c r="C115" s="6"/>
      <c r="D115" s="6"/>
    </row>
    <row r="116" spans="1:4" x14ac:dyDescent="0.2">
      <c r="A116" s="5"/>
      <c r="C116" s="6"/>
      <c r="D116" s="6"/>
    </row>
    <row r="117" spans="1:4" x14ac:dyDescent="0.2">
      <c r="A117" s="5"/>
      <c r="C117" s="6"/>
      <c r="D117" s="6"/>
    </row>
    <row r="118" spans="1:4" x14ac:dyDescent="0.2">
      <c r="A118" s="5"/>
      <c r="C118" s="6"/>
      <c r="D118" s="6"/>
    </row>
    <row r="119" spans="1:4" x14ac:dyDescent="0.2">
      <c r="A119" s="5"/>
      <c r="C119" s="6"/>
      <c r="D119" s="6"/>
    </row>
    <row r="120" spans="1:4" x14ac:dyDescent="0.2">
      <c r="A120" s="5"/>
      <c r="C120" s="6"/>
      <c r="D120" s="6"/>
    </row>
    <row r="121" spans="1:4" x14ac:dyDescent="0.2">
      <c r="A121" s="5"/>
      <c r="C121" s="6"/>
      <c r="D121" s="6"/>
    </row>
    <row r="122" spans="1:4" x14ac:dyDescent="0.2">
      <c r="A122" s="5"/>
      <c r="C122" s="6"/>
      <c r="D122" s="6"/>
    </row>
    <row r="123" spans="1:4" x14ac:dyDescent="0.2">
      <c r="A123" s="5"/>
      <c r="C123" s="6"/>
      <c r="D123" s="6"/>
    </row>
    <row r="124" spans="1:4" x14ac:dyDescent="0.2">
      <c r="A124" s="5"/>
      <c r="C124" s="6"/>
      <c r="D124" s="6"/>
    </row>
    <row r="125" spans="1:4" x14ac:dyDescent="0.2">
      <c r="A125" s="5"/>
      <c r="C125" s="6"/>
      <c r="D125" s="6"/>
    </row>
    <row r="126" spans="1:4" x14ac:dyDescent="0.2">
      <c r="A126" s="5"/>
      <c r="C126" s="6"/>
      <c r="D126" s="6"/>
    </row>
    <row r="127" spans="1:4" x14ac:dyDescent="0.2">
      <c r="A127" s="5"/>
      <c r="C127" s="6"/>
      <c r="D127" s="6"/>
    </row>
    <row r="128" spans="1:4" x14ac:dyDescent="0.2">
      <c r="A128" s="5"/>
      <c r="C128" s="6"/>
      <c r="D128" s="6"/>
    </row>
    <row r="129" spans="1:4" x14ac:dyDescent="0.2">
      <c r="A129" s="5"/>
      <c r="C129" s="6"/>
      <c r="D129" s="6"/>
    </row>
    <row r="130" spans="1:4" x14ac:dyDescent="0.2">
      <c r="A130" s="5"/>
      <c r="C130" s="6"/>
      <c r="D130" s="6"/>
    </row>
    <row r="131" spans="1:4" x14ac:dyDescent="0.2">
      <c r="A131" s="5"/>
      <c r="C131" s="6"/>
      <c r="D131" s="6"/>
    </row>
    <row r="132" spans="1:4" x14ac:dyDescent="0.2">
      <c r="A132" s="5"/>
      <c r="C132" s="6"/>
      <c r="D132" s="6"/>
    </row>
    <row r="133" spans="1:4" x14ac:dyDescent="0.2">
      <c r="A133" s="5"/>
      <c r="C133" s="6"/>
      <c r="D133" s="6"/>
    </row>
    <row r="134" spans="1:4" x14ac:dyDescent="0.2">
      <c r="A134" s="5"/>
      <c r="C134" s="6"/>
      <c r="D134" s="6"/>
    </row>
    <row r="135" spans="1:4" x14ac:dyDescent="0.2">
      <c r="A135" s="5"/>
      <c r="C135" s="6"/>
      <c r="D135" s="6"/>
    </row>
    <row r="136" spans="1:4" x14ac:dyDescent="0.2">
      <c r="A136" s="5"/>
      <c r="C136" s="6"/>
      <c r="D136" s="6"/>
    </row>
    <row r="137" spans="1:4" x14ac:dyDescent="0.2">
      <c r="A137" s="5"/>
      <c r="C137" s="6"/>
      <c r="D137" s="6"/>
    </row>
    <row r="138" spans="1:4" x14ac:dyDescent="0.2">
      <c r="A138" s="5"/>
      <c r="C138" s="6"/>
      <c r="D138" s="6"/>
    </row>
    <row r="139" spans="1:4" x14ac:dyDescent="0.2">
      <c r="A139" s="5"/>
      <c r="C139" s="6"/>
      <c r="D139" s="6"/>
    </row>
    <row r="140" spans="1:4" x14ac:dyDescent="0.2">
      <c r="A140" s="5"/>
      <c r="C140" s="6"/>
      <c r="D140" s="6"/>
    </row>
    <row r="141" spans="1:4" x14ac:dyDescent="0.2">
      <c r="A141" s="5"/>
      <c r="C141" s="6"/>
      <c r="D141" s="6"/>
    </row>
    <row r="142" spans="1:4" x14ac:dyDescent="0.2">
      <c r="A142" s="5"/>
      <c r="C142" s="6"/>
      <c r="D142" s="6"/>
    </row>
    <row r="143" spans="1:4" x14ac:dyDescent="0.2">
      <c r="A143" s="5"/>
      <c r="C143" s="6"/>
      <c r="D143" s="6"/>
    </row>
    <row r="144" spans="1:4" x14ac:dyDescent="0.2">
      <c r="A144" s="5"/>
      <c r="C144" s="6"/>
      <c r="D144" s="6"/>
    </row>
    <row r="145" spans="1:4" x14ac:dyDescent="0.2">
      <c r="A145" s="5"/>
      <c r="C145" s="6"/>
      <c r="D145" s="6"/>
    </row>
    <row r="146" spans="1:4" x14ac:dyDescent="0.2">
      <c r="A146" s="5"/>
      <c r="C146" s="6"/>
      <c r="D146" s="6"/>
    </row>
    <row r="147" spans="1:4" x14ac:dyDescent="0.2">
      <c r="A147" s="5"/>
      <c r="C147" s="6"/>
      <c r="D147" s="6"/>
    </row>
    <row r="148" spans="1:4" x14ac:dyDescent="0.2">
      <c r="A148" s="5"/>
      <c r="C148" s="6"/>
      <c r="D148" s="6"/>
    </row>
    <row r="149" spans="1:4" x14ac:dyDescent="0.2">
      <c r="A149" s="5"/>
      <c r="C149" s="6"/>
      <c r="D149" s="6"/>
    </row>
    <row r="150" spans="1:4" x14ac:dyDescent="0.2">
      <c r="A150" s="5"/>
      <c r="C150" s="6"/>
      <c r="D150" s="6"/>
    </row>
    <row r="151" spans="1:4" x14ac:dyDescent="0.2">
      <c r="A151" s="5"/>
      <c r="C151" s="6"/>
      <c r="D151" s="6"/>
    </row>
    <row r="152" spans="1:4" x14ac:dyDescent="0.2">
      <c r="A152" s="5"/>
      <c r="C152" s="6"/>
      <c r="D152" s="6"/>
    </row>
    <row r="153" spans="1:4" x14ac:dyDescent="0.2">
      <c r="A153" s="5"/>
      <c r="C153" s="6"/>
      <c r="D153" s="6"/>
    </row>
    <row r="154" spans="1:4" x14ac:dyDescent="0.2">
      <c r="A154" s="5"/>
      <c r="C154" s="6"/>
      <c r="D154" s="6"/>
    </row>
    <row r="155" spans="1:4" x14ac:dyDescent="0.2">
      <c r="A155" s="5"/>
      <c r="C155" s="6"/>
      <c r="D155" s="6"/>
    </row>
    <row r="156" spans="1:4" x14ac:dyDescent="0.2">
      <c r="A156" s="5"/>
      <c r="C156" s="6"/>
      <c r="D156" s="6"/>
    </row>
    <row r="157" spans="1:4" x14ac:dyDescent="0.2">
      <c r="A157" s="5"/>
      <c r="C157" s="6"/>
      <c r="D157" s="6"/>
    </row>
    <row r="158" spans="1:4" x14ac:dyDescent="0.2">
      <c r="A158" s="5"/>
      <c r="C158" s="6"/>
      <c r="D158" s="6"/>
    </row>
    <row r="159" spans="1:4" x14ac:dyDescent="0.2">
      <c r="A159" s="5"/>
      <c r="C159" s="6"/>
      <c r="D159" s="6"/>
    </row>
    <row r="160" spans="1:4" x14ac:dyDescent="0.2">
      <c r="A160" s="5"/>
      <c r="C160" s="6"/>
      <c r="D160" s="6"/>
    </row>
    <row r="161" spans="1:4" x14ac:dyDescent="0.2">
      <c r="A161" s="5"/>
      <c r="C161" s="6"/>
      <c r="D161" s="6"/>
    </row>
    <row r="162" spans="1:4" x14ac:dyDescent="0.2">
      <c r="A162" s="5"/>
      <c r="C162" s="6"/>
      <c r="D162" s="6"/>
    </row>
    <row r="163" spans="1:4" x14ac:dyDescent="0.2">
      <c r="A163" s="5"/>
      <c r="C163" s="6"/>
      <c r="D163" s="6"/>
    </row>
    <row r="164" spans="1:4" x14ac:dyDescent="0.2">
      <c r="A164" s="5"/>
      <c r="C164" s="6"/>
      <c r="D164" s="6"/>
    </row>
    <row r="165" spans="1:4" x14ac:dyDescent="0.2">
      <c r="A165" s="5"/>
      <c r="C165" s="6"/>
      <c r="D165" s="6"/>
    </row>
    <row r="166" spans="1:4" x14ac:dyDescent="0.2">
      <c r="A166" s="5"/>
      <c r="C166" s="6"/>
      <c r="D166" s="6"/>
    </row>
    <row r="167" spans="1:4" x14ac:dyDescent="0.2">
      <c r="A167" s="5"/>
      <c r="C167" s="6"/>
      <c r="D167" s="6"/>
    </row>
    <row r="168" spans="1:4" x14ac:dyDescent="0.2">
      <c r="A168" s="5"/>
      <c r="C168" s="6"/>
      <c r="D168" s="6"/>
    </row>
    <row r="169" spans="1:4" x14ac:dyDescent="0.2">
      <c r="A169" s="5"/>
      <c r="C169" s="6"/>
      <c r="D169" s="6"/>
    </row>
    <row r="170" spans="1:4" x14ac:dyDescent="0.2">
      <c r="A170" s="5"/>
      <c r="C170" s="6"/>
      <c r="D170" s="6"/>
    </row>
    <row r="171" spans="1:4" x14ac:dyDescent="0.2">
      <c r="A171" s="5"/>
      <c r="C171" s="6"/>
      <c r="D171" s="6"/>
    </row>
    <row r="172" spans="1:4" x14ac:dyDescent="0.2">
      <c r="A172" s="5"/>
      <c r="C172" s="6"/>
      <c r="D172" s="6"/>
    </row>
    <row r="173" spans="1:4" x14ac:dyDescent="0.2">
      <c r="A173" s="5"/>
      <c r="C173" s="6"/>
      <c r="D173" s="6"/>
    </row>
    <row r="174" spans="1:4" x14ac:dyDescent="0.2">
      <c r="A174" s="5"/>
      <c r="C174" s="6"/>
      <c r="D174" s="6"/>
    </row>
    <row r="175" spans="1:4" x14ac:dyDescent="0.2">
      <c r="A175" s="5"/>
      <c r="C175" s="6"/>
      <c r="D175" s="6"/>
    </row>
    <row r="176" spans="1:4" x14ac:dyDescent="0.2">
      <c r="A176" s="5"/>
      <c r="C176" s="6"/>
      <c r="D176" s="6"/>
    </row>
    <row r="177" spans="1:4" x14ac:dyDescent="0.2">
      <c r="A177" s="5"/>
      <c r="C177" s="6"/>
      <c r="D177" s="6"/>
    </row>
    <row r="178" spans="1:4" x14ac:dyDescent="0.2">
      <c r="A178" s="5"/>
      <c r="C178" s="6"/>
      <c r="D178" s="6"/>
    </row>
    <row r="179" spans="1:4" x14ac:dyDescent="0.2">
      <c r="A179" s="5"/>
      <c r="C179" s="6"/>
      <c r="D179" s="6"/>
    </row>
    <row r="180" spans="1:4" x14ac:dyDescent="0.2">
      <c r="A180" s="5"/>
      <c r="C180" s="6"/>
      <c r="D180" s="6"/>
    </row>
    <row r="181" spans="1:4" x14ac:dyDescent="0.2">
      <c r="A181" s="5"/>
      <c r="C181" s="6"/>
      <c r="D181" s="6"/>
    </row>
    <row r="182" spans="1:4" x14ac:dyDescent="0.2">
      <c r="A182" s="5"/>
      <c r="C182" s="6"/>
      <c r="D182" s="6"/>
    </row>
    <row r="183" spans="1:4" x14ac:dyDescent="0.2">
      <c r="A183" s="5"/>
      <c r="C183" s="6"/>
      <c r="D183" s="6"/>
    </row>
    <row r="184" spans="1:4" x14ac:dyDescent="0.2">
      <c r="A184" s="5"/>
      <c r="C184" s="6"/>
      <c r="D184" s="6"/>
    </row>
    <row r="185" spans="1:4" x14ac:dyDescent="0.2">
      <c r="A185" s="5"/>
      <c r="C185" s="6"/>
      <c r="D185" s="6"/>
    </row>
    <row r="186" spans="1:4" x14ac:dyDescent="0.2">
      <c r="A186" s="5"/>
      <c r="C186" s="6"/>
      <c r="D186" s="6"/>
    </row>
    <row r="187" spans="1:4" x14ac:dyDescent="0.2">
      <c r="A187" s="5"/>
      <c r="C187" s="6"/>
      <c r="D187" s="6"/>
    </row>
    <row r="188" spans="1:4" x14ac:dyDescent="0.2">
      <c r="A188" s="5"/>
      <c r="C188" s="6"/>
      <c r="D188" s="6"/>
    </row>
    <row r="189" spans="1:4" x14ac:dyDescent="0.2">
      <c r="A189" s="5"/>
      <c r="C189" s="6"/>
      <c r="D189" s="6"/>
    </row>
    <row r="190" spans="1:4" x14ac:dyDescent="0.2">
      <c r="A190" s="5"/>
      <c r="C190" s="6"/>
      <c r="D190" s="6"/>
    </row>
    <row r="191" spans="1:4" x14ac:dyDescent="0.2">
      <c r="A191" s="5"/>
      <c r="C191" s="6"/>
      <c r="D191" s="6"/>
    </row>
    <row r="192" spans="1:4" x14ac:dyDescent="0.2">
      <c r="A192" s="5"/>
      <c r="C192" s="6"/>
      <c r="D192" s="6"/>
    </row>
    <row r="193" spans="1:4" x14ac:dyDescent="0.2">
      <c r="A193" s="5"/>
      <c r="C193" s="6"/>
      <c r="D193" s="6"/>
    </row>
    <row r="194" spans="1:4" x14ac:dyDescent="0.2">
      <c r="A194" s="5"/>
      <c r="C194" s="6"/>
      <c r="D194" s="6"/>
    </row>
    <row r="195" spans="1:4" x14ac:dyDescent="0.2">
      <c r="A195" s="5"/>
      <c r="C195" s="6"/>
      <c r="D195" s="6"/>
    </row>
    <row r="196" spans="1:4" x14ac:dyDescent="0.2">
      <c r="A196" s="5"/>
      <c r="C196" s="6"/>
      <c r="D196" s="6"/>
    </row>
    <row r="197" spans="1:4" x14ac:dyDescent="0.2">
      <c r="A197" s="5"/>
      <c r="C197" s="6"/>
      <c r="D197" s="6"/>
    </row>
    <row r="198" spans="1:4" x14ac:dyDescent="0.2">
      <c r="A198" s="5"/>
      <c r="C198" s="6"/>
      <c r="D198" s="6"/>
    </row>
    <row r="199" spans="1:4" x14ac:dyDescent="0.2">
      <c r="A199" s="5"/>
      <c r="C199" s="6"/>
      <c r="D199" s="6"/>
    </row>
    <row r="200" spans="1:4" x14ac:dyDescent="0.2">
      <c r="A200" s="5"/>
      <c r="C200" s="6"/>
      <c r="D200" s="6"/>
    </row>
    <row r="201" spans="1:4" x14ac:dyDescent="0.2">
      <c r="A201" s="5"/>
      <c r="C201" s="6"/>
      <c r="D201" s="6"/>
    </row>
    <row r="202" spans="1:4" x14ac:dyDescent="0.2">
      <c r="A202" s="5"/>
      <c r="C202" s="6"/>
      <c r="D202" s="6"/>
    </row>
    <row r="203" spans="1:4" x14ac:dyDescent="0.2">
      <c r="A203" s="5"/>
      <c r="C203" s="6"/>
      <c r="D203" s="6"/>
    </row>
    <row r="204" spans="1:4" x14ac:dyDescent="0.2">
      <c r="A204" s="5"/>
      <c r="C204" s="6"/>
      <c r="D204" s="6"/>
    </row>
    <row r="205" spans="1:4" x14ac:dyDescent="0.2">
      <c r="A205" s="5"/>
      <c r="C205" s="6"/>
      <c r="D205" s="6"/>
    </row>
    <row r="206" spans="1:4" x14ac:dyDescent="0.2">
      <c r="A206" s="5"/>
      <c r="C206" s="6"/>
      <c r="D206" s="6"/>
    </row>
    <row r="207" spans="1:4" x14ac:dyDescent="0.2">
      <c r="A207" s="5"/>
      <c r="C207" s="6"/>
      <c r="D207" s="6"/>
    </row>
    <row r="208" spans="1:4" x14ac:dyDescent="0.2">
      <c r="A208" s="5"/>
      <c r="C208" s="6"/>
      <c r="D208" s="6"/>
    </row>
    <row r="209" spans="1:4" x14ac:dyDescent="0.2">
      <c r="A209" s="5"/>
      <c r="C209" s="6"/>
      <c r="D209" s="6"/>
    </row>
    <row r="210" spans="1:4" x14ac:dyDescent="0.2">
      <c r="A210" s="5"/>
      <c r="C210" s="6"/>
      <c r="D210" s="6"/>
    </row>
    <row r="211" spans="1:4" x14ac:dyDescent="0.2">
      <c r="A211" s="5"/>
      <c r="C211" s="6"/>
      <c r="D211" s="6"/>
    </row>
    <row r="212" spans="1:4" x14ac:dyDescent="0.2">
      <c r="A212" s="5"/>
      <c r="C212" s="6"/>
      <c r="D212" s="6"/>
    </row>
    <row r="213" spans="1:4" x14ac:dyDescent="0.2">
      <c r="A213" s="5"/>
      <c r="C213" s="6"/>
      <c r="D213" s="6"/>
    </row>
    <row r="214" spans="1:4" x14ac:dyDescent="0.2">
      <c r="A214" s="5"/>
      <c r="C214" s="6"/>
      <c r="D214" s="6"/>
    </row>
    <row r="215" spans="1:4" x14ac:dyDescent="0.2">
      <c r="A215" s="5"/>
      <c r="C215" s="6"/>
      <c r="D215" s="6"/>
    </row>
    <row r="216" spans="1:4" x14ac:dyDescent="0.2">
      <c r="A216" s="5"/>
      <c r="C216" s="6"/>
      <c r="D216" s="6"/>
    </row>
    <row r="217" spans="1:4" x14ac:dyDescent="0.2">
      <c r="A217" s="5"/>
      <c r="C217" s="6"/>
      <c r="D217" s="6"/>
    </row>
    <row r="218" spans="1:4" x14ac:dyDescent="0.2">
      <c r="A218" s="5"/>
      <c r="C218" s="6"/>
      <c r="D218" s="6"/>
    </row>
    <row r="219" spans="1:4" x14ac:dyDescent="0.2">
      <c r="A219" s="5"/>
      <c r="C219" s="6"/>
      <c r="D219" s="6"/>
    </row>
    <row r="220" spans="1:4" x14ac:dyDescent="0.2">
      <c r="A220" s="5"/>
      <c r="C220" s="6"/>
      <c r="D220" s="6"/>
    </row>
    <row r="221" spans="1:4" x14ac:dyDescent="0.2">
      <c r="A221" s="5"/>
      <c r="C221" s="6"/>
      <c r="D221" s="6"/>
    </row>
    <row r="222" spans="1:4" x14ac:dyDescent="0.2">
      <c r="A222" s="5"/>
      <c r="C222" s="6"/>
      <c r="D222" s="6"/>
    </row>
    <row r="223" spans="1:4" x14ac:dyDescent="0.2">
      <c r="A223" s="5"/>
      <c r="C223" s="6"/>
      <c r="D223" s="6"/>
    </row>
    <row r="224" spans="1:4" x14ac:dyDescent="0.2">
      <c r="A224" s="5"/>
      <c r="C224" s="6"/>
      <c r="D224" s="6"/>
    </row>
    <row r="225" spans="1:4" x14ac:dyDescent="0.2">
      <c r="A225" s="5"/>
      <c r="C225" s="6"/>
      <c r="D225" s="6"/>
    </row>
    <row r="226" spans="1:4" x14ac:dyDescent="0.2">
      <c r="A226" s="5"/>
      <c r="C226" s="6"/>
      <c r="D226" s="6"/>
    </row>
    <row r="227" spans="1:4" x14ac:dyDescent="0.2">
      <c r="A227" s="5"/>
      <c r="C227" s="6"/>
      <c r="D227" s="6"/>
    </row>
    <row r="228" spans="1:4" x14ac:dyDescent="0.2">
      <c r="A228" s="5"/>
      <c r="C228" s="6"/>
      <c r="D228" s="6"/>
    </row>
    <row r="229" spans="1:4" x14ac:dyDescent="0.2">
      <c r="A229" s="5"/>
      <c r="C229" s="6"/>
      <c r="D229" s="6"/>
    </row>
    <row r="230" spans="1:4" x14ac:dyDescent="0.2">
      <c r="A230" s="5"/>
      <c r="C230" s="6"/>
      <c r="D230" s="6"/>
    </row>
    <row r="231" spans="1:4" x14ac:dyDescent="0.2">
      <c r="A231" s="5"/>
      <c r="C231" s="6"/>
      <c r="D231" s="6"/>
    </row>
    <row r="232" spans="1:4" x14ac:dyDescent="0.2">
      <c r="A232" s="5"/>
      <c r="C232" s="6"/>
      <c r="D232" s="6"/>
    </row>
    <row r="233" spans="1:4" x14ac:dyDescent="0.2">
      <c r="A233" s="5"/>
      <c r="C233" s="6"/>
      <c r="D233" s="6"/>
    </row>
    <row r="234" spans="1:4" x14ac:dyDescent="0.2">
      <c r="A234" s="5"/>
      <c r="C234" s="6"/>
      <c r="D234" s="6"/>
    </row>
    <row r="235" spans="1:4" x14ac:dyDescent="0.2">
      <c r="A235" s="5"/>
      <c r="C235" s="6"/>
      <c r="D235" s="6"/>
    </row>
    <row r="236" spans="1:4" x14ac:dyDescent="0.2">
      <c r="A236" s="5"/>
      <c r="C236" s="6"/>
      <c r="D236" s="6"/>
    </row>
    <row r="237" spans="1:4" x14ac:dyDescent="0.2">
      <c r="A237" s="5"/>
      <c r="C237" s="6"/>
      <c r="D237" s="6"/>
    </row>
    <row r="238" spans="1:4" x14ac:dyDescent="0.2">
      <c r="A238" s="5"/>
      <c r="C238" s="6"/>
      <c r="D238" s="6"/>
    </row>
    <row r="239" spans="1:4" x14ac:dyDescent="0.2">
      <c r="A239" s="5"/>
      <c r="C239" s="6"/>
      <c r="D239" s="6"/>
    </row>
    <row r="240" spans="1:4" x14ac:dyDescent="0.2">
      <c r="A240" s="5"/>
      <c r="C240" s="6"/>
      <c r="D240" s="6"/>
    </row>
    <row r="241" spans="1:4" x14ac:dyDescent="0.2">
      <c r="A241" s="5"/>
      <c r="C241" s="6"/>
      <c r="D241" s="6"/>
    </row>
    <row r="242" spans="1:4" x14ac:dyDescent="0.2">
      <c r="A242" s="5"/>
      <c r="C242" s="6"/>
      <c r="D242" s="6"/>
    </row>
    <row r="243" spans="1:4" x14ac:dyDescent="0.2">
      <c r="A243" s="5"/>
      <c r="C243" s="6"/>
      <c r="D243" s="6"/>
    </row>
    <row r="244" spans="1:4" x14ac:dyDescent="0.2">
      <c r="A244" s="5"/>
      <c r="C244" s="6"/>
      <c r="D244" s="6"/>
    </row>
    <row r="245" spans="1:4" x14ac:dyDescent="0.2">
      <c r="A245" s="5"/>
      <c r="C245" s="6"/>
      <c r="D245" s="6"/>
    </row>
    <row r="246" spans="1:4" x14ac:dyDescent="0.2">
      <c r="A246" s="5"/>
      <c r="C246" s="6"/>
      <c r="D246" s="6"/>
    </row>
    <row r="247" spans="1:4" x14ac:dyDescent="0.2">
      <c r="A247" s="5"/>
      <c r="C247" s="6"/>
      <c r="D247" s="6"/>
    </row>
    <row r="248" spans="1:4" x14ac:dyDescent="0.2">
      <c r="A248" s="5"/>
      <c r="C248" s="6"/>
      <c r="D248" s="6"/>
    </row>
    <row r="249" spans="1:4" x14ac:dyDescent="0.2">
      <c r="A249" s="5"/>
      <c r="C249" s="6"/>
      <c r="D249" s="6"/>
    </row>
    <row r="250" spans="1:4" x14ac:dyDescent="0.2">
      <c r="A250" s="5"/>
      <c r="C250" s="6"/>
      <c r="D250" s="6"/>
    </row>
    <row r="251" spans="1:4" x14ac:dyDescent="0.2">
      <c r="A251" s="5"/>
      <c r="C251" s="6"/>
      <c r="D251" s="6"/>
    </row>
    <row r="252" spans="1:4" x14ac:dyDescent="0.2">
      <c r="A252" s="5"/>
      <c r="C252" s="6"/>
      <c r="D252" s="6"/>
    </row>
    <row r="253" spans="1:4" x14ac:dyDescent="0.2">
      <c r="A253" s="5"/>
      <c r="C253" s="6"/>
      <c r="D253" s="6"/>
    </row>
    <row r="254" spans="1:4" x14ac:dyDescent="0.2">
      <c r="A254" s="5"/>
      <c r="C254" s="6"/>
      <c r="D254" s="6"/>
    </row>
    <row r="255" spans="1:4" x14ac:dyDescent="0.2">
      <c r="A255" s="5"/>
      <c r="C255" s="6"/>
      <c r="D255" s="6"/>
    </row>
    <row r="256" spans="1:4" x14ac:dyDescent="0.2">
      <c r="A256" s="5"/>
      <c r="C256" s="6"/>
      <c r="D256" s="6"/>
    </row>
    <row r="257" spans="1:4" x14ac:dyDescent="0.2">
      <c r="A257" s="5"/>
      <c r="C257" s="6"/>
      <c r="D257" s="6"/>
    </row>
    <row r="258" spans="1:4" x14ac:dyDescent="0.2">
      <c r="A258" s="5"/>
      <c r="C258" s="6"/>
      <c r="D258" s="6"/>
    </row>
    <row r="259" spans="1:4" x14ac:dyDescent="0.2">
      <c r="A259" s="5"/>
      <c r="C259" s="6"/>
      <c r="D259" s="6"/>
    </row>
    <row r="260" spans="1:4" x14ac:dyDescent="0.2">
      <c r="A260" s="5"/>
      <c r="C260" s="6"/>
      <c r="D260" s="6"/>
    </row>
    <row r="261" spans="1:4" x14ac:dyDescent="0.2">
      <c r="A261" s="5"/>
      <c r="C261" s="6"/>
      <c r="D261" s="6"/>
    </row>
    <row r="262" spans="1:4" x14ac:dyDescent="0.2">
      <c r="A262" s="5"/>
      <c r="C262" s="6"/>
      <c r="D262" s="6"/>
    </row>
    <row r="263" spans="1:4" x14ac:dyDescent="0.2">
      <c r="A263" s="5"/>
      <c r="C263" s="6"/>
      <c r="D263" s="6"/>
    </row>
    <row r="264" spans="1:4" x14ac:dyDescent="0.2">
      <c r="A264" s="5"/>
      <c r="C264" s="6"/>
      <c r="D264" s="6"/>
    </row>
    <row r="265" spans="1:4" x14ac:dyDescent="0.2">
      <c r="A265" s="5"/>
      <c r="C265" s="6"/>
      <c r="D265" s="6"/>
    </row>
    <row r="266" spans="1:4" x14ac:dyDescent="0.2">
      <c r="A266" s="5"/>
      <c r="C266" s="6"/>
      <c r="D266" s="6"/>
    </row>
    <row r="267" spans="1:4" x14ac:dyDescent="0.2">
      <c r="A267" s="5"/>
      <c r="C267" s="6"/>
      <c r="D267" s="6"/>
    </row>
    <row r="268" spans="1:4" x14ac:dyDescent="0.2">
      <c r="A268" s="5"/>
      <c r="C268" s="6"/>
      <c r="D268" s="6"/>
    </row>
    <row r="269" spans="1:4" x14ac:dyDescent="0.2">
      <c r="A269" s="5"/>
      <c r="C269" s="6"/>
      <c r="D269" s="6"/>
    </row>
    <row r="270" spans="1:4" x14ac:dyDescent="0.2">
      <c r="A270" s="5"/>
      <c r="C270" s="6"/>
      <c r="D270" s="6"/>
    </row>
    <row r="271" spans="1:4" x14ac:dyDescent="0.2">
      <c r="A271" s="5"/>
      <c r="C271" s="6"/>
      <c r="D271" s="6"/>
    </row>
    <row r="272" spans="1:4" x14ac:dyDescent="0.2">
      <c r="A272" s="5"/>
      <c r="C272" s="6"/>
      <c r="D272" s="6"/>
    </row>
    <row r="273" spans="1:4" x14ac:dyDescent="0.2">
      <c r="A273" s="5"/>
      <c r="C273" s="6"/>
      <c r="D273" s="6"/>
    </row>
    <row r="274" spans="1:4" x14ac:dyDescent="0.2">
      <c r="A274" s="5"/>
      <c r="C274" s="6"/>
      <c r="D274" s="6"/>
    </row>
    <row r="275" spans="1:4" x14ac:dyDescent="0.2">
      <c r="A275" s="5"/>
      <c r="C275" s="6"/>
      <c r="D275" s="6"/>
    </row>
    <row r="276" spans="1:4" x14ac:dyDescent="0.2">
      <c r="A276" s="5"/>
      <c r="C276" s="6"/>
      <c r="D276" s="6"/>
    </row>
    <row r="277" spans="1:4" x14ac:dyDescent="0.2">
      <c r="A277" s="5"/>
      <c r="C277" s="6"/>
      <c r="D277" s="6"/>
    </row>
    <row r="278" spans="1:4" x14ac:dyDescent="0.2">
      <c r="A278" s="5"/>
      <c r="C278" s="6"/>
      <c r="D278" s="6"/>
    </row>
    <row r="279" spans="1:4" x14ac:dyDescent="0.2">
      <c r="A279" s="5"/>
      <c r="C279" s="6"/>
      <c r="D279" s="6"/>
    </row>
    <row r="280" spans="1:4" x14ac:dyDescent="0.2">
      <c r="A280" s="5"/>
      <c r="C280" s="6"/>
      <c r="D280" s="6"/>
    </row>
    <row r="281" spans="1:4" x14ac:dyDescent="0.2">
      <c r="A281" s="5"/>
      <c r="C281" s="6"/>
      <c r="D281" s="6"/>
    </row>
    <row r="282" spans="1:4" x14ac:dyDescent="0.2">
      <c r="A282" s="5"/>
      <c r="C282" s="6"/>
      <c r="D282" s="6"/>
    </row>
    <row r="283" spans="1:4" x14ac:dyDescent="0.2">
      <c r="A283" s="5"/>
      <c r="C283" s="6"/>
      <c r="D283" s="6"/>
    </row>
    <row r="284" spans="1:4" x14ac:dyDescent="0.2">
      <c r="A284" s="5"/>
      <c r="C284" s="6"/>
      <c r="D284" s="6"/>
    </row>
    <row r="285" spans="1:4" x14ac:dyDescent="0.2">
      <c r="A285" s="5"/>
      <c r="C285" s="6"/>
      <c r="D285" s="6"/>
    </row>
    <row r="286" spans="1:4" x14ac:dyDescent="0.2">
      <c r="A286" s="5"/>
      <c r="C286" s="6"/>
      <c r="D286" s="6"/>
    </row>
    <row r="287" spans="1:4" x14ac:dyDescent="0.2">
      <c r="A287" s="5"/>
      <c r="C287" s="6"/>
      <c r="D287" s="6"/>
    </row>
    <row r="288" spans="1:4" x14ac:dyDescent="0.2">
      <c r="A288" s="5"/>
      <c r="C288" s="6"/>
      <c r="D288" s="6"/>
    </row>
    <row r="289" spans="1:4" x14ac:dyDescent="0.2">
      <c r="A289" s="5"/>
      <c r="C289" s="6"/>
      <c r="D289" s="6"/>
    </row>
    <row r="290" spans="1:4" x14ac:dyDescent="0.2">
      <c r="A290" s="5"/>
      <c r="C290" s="6"/>
      <c r="D290" s="6"/>
    </row>
    <row r="291" spans="1:4" x14ac:dyDescent="0.2">
      <c r="A291" s="5"/>
      <c r="C291" s="6"/>
      <c r="D291" s="6"/>
    </row>
    <row r="292" spans="1:4" x14ac:dyDescent="0.2">
      <c r="A292" s="5"/>
      <c r="C292" s="6"/>
      <c r="D292" s="6"/>
    </row>
    <row r="293" spans="1:4" x14ac:dyDescent="0.2">
      <c r="A293" s="5"/>
      <c r="C293" s="6"/>
      <c r="D293" s="6"/>
    </row>
    <row r="294" spans="1:4" x14ac:dyDescent="0.2">
      <c r="A294" s="5"/>
      <c r="C294" s="6"/>
      <c r="D294" s="6"/>
    </row>
    <row r="295" spans="1:4" x14ac:dyDescent="0.2">
      <c r="A295" s="5"/>
      <c r="C295" s="6"/>
      <c r="D295" s="6"/>
    </row>
    <row r="296" spans="1:4" x14ac:dyDescent="0.2">
      <c r="A296" s="5"/>
      <c r="C296" s="6"/>
      <c r="D296" s="6"/>
    </row>
    <row r="297" spans="1:4" x14ac:dyDescent="0.2">
      <c r="A297" s="5"/>
      <c r="C297" s="6"/>
      <c r="D297" s="6"/>
    </row>
    <row r="298" spans="1:4" x14ac:dyDescent="0.2">
      <c r="A298" s="5"/>
      <c r="C298" s="6"/>
      <c r="D298" s="6"/>
    </row>
    <row r="299" spans="1:4" x14ac:dyDescent="0.2">
      <c r="A299" s="5"/>
      <c r="C299" s="6"/>
      <c r="D299" s="6"/>
    </row>
    <row r="300" spans="1:4" x14ac:dyDescent="0.2">
      <c r="A300" s="5"/>
      <c r="C300" s="6"/>
      <c r="D300" s="6"/>
    </row>
    <row r="301" spans="1:4" x14ac:dyDescent="0.2">
      <c r="A301" s="5"/>
      <c r="C301" s="6"/>
      <c r="D301" s="6"/>
    </row>
    <row r="302" spans="1:4" x14ac:dyDescent="0.2">
      <c r="A302" s="5"/>
      <c r="C302" s="6"/>
      <c r="D302" s="6"/>
    </row>
    <row r="303" spans="1:4" x14ac:dyDescent="0.2">
      <c r="A303" s="5"/>
      <c r="C303" s="6"/>
      <c r="D303" s="6"/>
    </row>
    <row r="304" spans="1:4" x14ac:dyDescent="0.2">
      <c r="A304" s="5"/>
      <c r="C304" s="6"/>
      <c r="D304" s="6"/>
    </row>
    <row r="305" spans="1:4" x14ac:dyDescent="0.2">
      <c r="A305" s="5"/>
      <c r="C305" s="6"/>
      <c r="D305" s="6"/>
    </row>
    <row r="306" spans="1:4" x14ac:dyDescent="0.2">
      <c r="A306" s="5"/>
      <c r="C306" s="6"/>
      <c r="D306" s="6"/>
    </row>
    <row r="307" spans="1:4" x14ac:dyDescent="0.2">
      <c r="A307" s="5"/>
      <c r="C307" s="6"/>
      <c r="D307" s="6"/>
    </row>
    <row r="308" spans="1:4" x14ac:dyDescent="0.2">
      <c r="A308" s="5"/>
      <c r="C308" s="6"/>
      <c r="D308" s="6"/>
    </row>
    <row r="309" spans="1:4" x14ac:dyDescent="0.2">
      <c r="A309" s="5"/>
      <c r="C309" s="6"/>
      <c r="D309" s="6"/>
    </row>
    <row r="310" spans="1:4" x14ac:dyDescent="0.2">
      <c r="A310" s="5"/>
      <c r="C310" s="6"/>
      <c r="D310" s="6"/>
    </row>
    <row r="311" spans="1:4" x14ac:dyDescent="0.2">
      <c r="A311" s="5"/>
      <c r="C311" s="6"/>
      <c r="D311" s="6"/>
    </row>
    <row r="312" spans="1:4" x14ac:dyDescent="0.2">
      <c r="A312" s="5"/>
      <c r="C312" s="6"/>
      <c r="D312" s="6"/>
    </row>
    <row r="313" spans="1:4" x14ac:dyDescent="0.2">
      <c r="A313" s="5"/>
      <c r="C313" s="6"/>
      <c r="D313" s="6"/>
    </row>
    <row r="314" spans="1:4" x14ac:dyDescent="0.2">
      <c r="A314" s="5"/>
      <c r="C314" s="6"/>
      <c r="D314" s="6"/>
    </row>
    <row r="315" spans="1:4" x14ac:dyDescent="0.2">
      <c r="A315" s="5"/>
      <c r="C315" s="6"/>
      <c r="D315" s="6"/>
    </row>
    <row r="316" spans="1:4" x14ac:dyDescent="0.2">
      <c r="A316" s="5"/>
      <c r="C316" s="6"/>
      <c r="D316" s="6"/>
    </row>
    <row r="317" spans="1:4" x14ac:dyDescent="0.2">
      <c r="A317" s="5"/>
      <c r="C317" s="6"/>
      <c r="D317" s="6"/>
    </row>
    <row r="318" spans="1:4" x14ac:dyDescent="0.2">
      <c r="A318" s="5"/>
      <c r="C318" s="6"/>
      <c r="D318" s="6"/>
    </row>
    <row r="319" spans="1:4" x14ac:dyDescent="0.2">
      <c r="A319" s="5"/>
      <c r="C319" s="6"/>
      <c r="D319" s="6"/>
    </row>
    <row r="320" spans="1:4" x14ac:dyDescent="0.2">
      <c r="A320" s="5"/>
      <c r="C320" s="6"/>
      <c r="D320" s="6"/>
    </row>
    <row r="321" spans="1:4" x14ac:dyDescent="0.2">
      <c r="A321" s="5"/>
      <c r="C321" s="6"/>
      <c r="D321" s="6"/>
    </row>
    <row r="322" spans="1:4" x14ac:dyDescent="0.2">
      <c r="A322" s="5"/>
      <c r="C322" s="6"/>
      <c r="D322" s="6"/>
    </row>
    <row r="323" spans="1:4" x14ac:dyDescent="0.2">
      <c r="A323" s="5"/>
      <c r="C323" s="6"/>
      <c r="D323" s="6"/>
    </row>
    <row r="324" spans="1:4" x14ac:dyDescent="0.2">
      <c r="A324" s="5"/>
      <c r="C324" s="6"/>
      <c r="D324" s="6"/>
    </row>
    <row r="325" spans="1:4" x14ac:dyDescent="0.2">
      <c r="A325" s="5"/>
      <c r="C325" s="6"/>
      <c r="D325" s="6"/>
    </row>
    <row r="326" spans="1:4" x14ac:dyDescent="0.2">
      <c r="A326" s="5"/>
      <c r="C326" s="6"/>
      <c r="D326" s="6"/>
    </row>
    <row r="327" spans="1:4" x14ac:dyDescent="0.2">
      <c r="A327" s="5"/>
      <c r="C327" s="6"/>
      <c r="D327" s="6"/>
    </row>
    <row r="328" spans="1:4" x14ac:dyDescent="0.2">
      <c r="A328" s="5"/>
      <c r="C328" s="6"/>
      <c r="D328" s="6"/>
    </row>
    <row r="329" spans="1:4" x14ac:dyDescent="0.2">
      <c r="A329" s="5"/>
      <c r="C329" s="6"/>
      <c r="D329" s="6"/>
    </row>
    <row r="330" spans="1:4" x14ac:dyDescent="0.2">
      <c r="A330" s="5"/>
      <c r="C330" s="6"/>
      <c r="D330" s="6"/>
    </row>
    <row r="331" spans="1:4" x14ac:dyDescent="0.2">
      <c r="A331" s="5"/>
      <c r="C331" s="6"/>
      <c r="D331" s="6"/>
    </row>
    <row r="332" spans="1:4" x14ac:dyDescent="0.2">
      <c r="A332" s="5"/>
      <c r="C332" s="6"/>
      <c r="D332" s="6"/>
    </row>
    <row r="333" spans="1:4" x14ac:dyDescent="0.2">
      <c r="A333" s="5"/>
      <c r="C333" s="6"/>
      <c r="D333" s="6"/>
    </row>
    <row r="334" spans="1:4" x14ac:dyDescent="0.2">
      <c r="A334" s="5"/>
      <c r="C334" s="6"/>
      <c r="D334" s="6"/>
    </row>
    <row r="335" spans="1:4" x14ac:dyDescent="0.2">
      <c r="A335" s="5"/>
      <c r="C335" s="6"/>
      <c r="D335" s="6"/>
    </row>
    <row r="336" spans="1:4" x14ac:dyDescent="0.2">
      <c r="A336" s="5"/>
      <c r="C336" s="6"/>
      <c r="D336" s="6"/>
    </row>
    <row r="337" spans="1:4" x14ac:dyDescent="0.2">
      <c r="A337" s="5"/>
      <c r="C337" s="6"/>
      <c r="D337" s="6"/>
    </row>
    <row r="338" spans="1:4" x14ac:dyDescent="0.2">
      <c r="A338" s="5"/>
      <c r="C338" s="6"/>
      <c r="D338" s="6"/>
    </row>
    <row r="339" spans="1:4" x14ac:dyDescent="0.2">
      <c r="A339" s="5"/>
      <c r="C339" s="6"/>
      <c r="D339" s="6"/>
    </row>
    <row r="340" spans="1:4" x14ac:dyDescent="0.2">
      <c r="A340" s="5"/>
      <c r="C340" s="6"/>
      <c r="D340" s="6"/>
    </row>
    <row r="341" spans="1:4" x14ac:dyDescent="0.2">
      <c r="A341" s="5"/>
      <c r="C341" s="6"/>
      <c r="D341" s="6"/>
    </row>
    <row r="342" spans="1:4" x14ac:dyDescent="0.2">
      <c r="A342" s="5"/>
      <c r="C342" s="6"/>
      <c r="D342" s="6"/>
    </row>
    <row r="343" spans="1:4" x14ac:dyDescent="0.2">
      <c r="A343" s="5"/>
      <c r="C343" s="6"/>
      <c r="D343" s="6"/>
    </row>
    <row r="344" spans="1:4" x14ac:dyDescent="0.2">
      <c r="A344" s="5"/>
      <c r="C344" s="6"/>
      <c r="D344" s="6"/>
    </row>
    <row r="345" spans="1:4" x14ac:dyDescent="0.2">
      <c r="A345" s="5"/>
      <c r="C345" s="6"/>
      <c r="D345" s="6"/>
    </row>
    <row r="346" spans="1:4" x14ac:dyDescent="0.2">
      <c r="A346" s="5"/>
      <c r="C346" s="6"/>
      <c r="D346" s="6"/>
    </row>
    <row r="347" spans="1:4" x14ac:dyDescent="0.2">
      <c r="A347" s="5"/>
      <c r="C347" s="6"/>
      <c r="D347" s="6"/>
    </row>
    <row r="348" spans="1:4" x14ac:dyDescent="0.2">
      <c r="A348" s="5"/>
      <c r="C348" s="6"/>
      <c r="D348" s="6"/>
    </row>
    <row r="349" spans="1:4" x14ac:dyDescent="0.2">
      <c r="A349" s="5"/>
      <c r="C349" s="6"/>
      <c r="D349" s="6"/>
    </row>
    <row r="350" spans="1:4" x14ac:dyDescent="0.2">
      <c r="A350" s="5"/>
      <c r="C350" s="6"/>
      <c r="D350" s="6"/>
    </row>
    <row r="351" spans="1:4" x14ac:dyDescent="0.2">
      <c r="A351" s="5"/>
      <c r="C351" s="6"/>
      <c r="D351" s="6"/>
    </row>
    <row r="352" spans="1:4" x14ac:dyDescent="0.2">
      <c r="A352" s="5"/>
      <c r="C352" s="6"/>
      <c r="D352" s="6"/>
    </row>
    <row r="353" spans="1:4" x14ac:dyDescent="0.2">
      <c r="A353" s="5"/>
      <c r="C353" s="6"/>
      <c r="D353" s="6"/>
    </row>
    <row r="354" spans="1:4" x14ac:dyDescent="0.2">
      <c r="A354" s="5"/>
      <c r="C354" s="6"/>
      <c r="D354" s="6"/>
    </row>
    <row r="355" spans="1:4" x14ac:dyDescent="0.2">
      <c r="A355" s="5"/>
      <c r="C355" s="6"/>
      <c r="D355" s="6"/>
    </row>
    <row r="356" spans="1:4" x14ac:dyDescent="0.2">
      <c r="A356" s="5"/>
      <c r="C356" s="6"/>
      <c r="D356" s="6"/>
    </row>
    <row r="357" spans="1:4" x14ac:dyDescent="0.2">
      <c r="A357" s="5"/>
      <c r="C357" s="6"/>
      <c r="D357" s="6"/>
    </row>
    <row r="358" spans="1:4" x14ac:dyDescent="0.2">
      <c r="A358" s="5"/>
      <c r="C358" s="6"/>
      <c r="D358" s="6"/>
    </row>
    <row r="359" spans="1:4" x14ac:dyDescent="0.2">
      <c r="A359" s="5"/>
      <c r="C359" s="6"/>
      <c r="D359" s="6"/>
    </row>
    <row r="360" spans="1:4" x14ac:dyDescent="0.2">
      <c r="A360" s="5"/>
      <c r="C360" s="6"/>
      <c r="D360" s="6"/>
    </row>
    <row r="361" spans="1:4" x14ac:dyDescent="0.2">
      <c r="A361" s="5"/>
      <c r="C361" s="6"/>
      <c r="D361" s="6"/>
    </row>
    <row r="362" spans="1:4" x14ac:dyDescent="0.2">
      <c r="A362" s="5"/>
      <c r="C362" s="6"/>
      <c r="D362" s="6"/>
    </row>
    <row r="363" spans="1:4" x14ac:dyDescent="0.2">
      <c r="A363" s="5"/>
      <c r="C363" s="6"/>
      <c r="D363" s="6"/>
    </row>
    <row r="364" spans="1:4" x14ac:dyDescent="0.2">
      <c r="A364" s="5"/>
      <c r="C364" s="6"/>
      <c r="D364" s="6"/>
    </row>
    <row r="365" spans="1:4" x14ac:dyDescent="0.2">
      <c r="A365" s="5"/>
      <c r="C365" s="6"/>
      <c r="D365" s="6"/>
    </row>
    <row r="366" spans="1:4" x14ac:dyDescent="0.2">
      <c r="A366" s="5"/>
      <c r="C366" s="6"/>
      <c r="D366" s="6"/>
    </row>
    <row r="367" spans="1:4" x14ac:dyDescent="0.2">
      <c r="A367" s="5"/>
      <c r="C367" s="6"/>
      <c r="D367" s="6"/>
    </row>
    <row r="368" spans="1:4" x14ac:dyDescent="0.2">
      <c r="A368" s="5"/>
      <c r="C368" s="6"/>
      <c r="D368" s="6"/>
    </row>
    <row r="369" spans="1:4" x14ac:dyDescent="0.2">
      <c r="A369" s="5"/>
      <c r="C369" s="6"/>
      <c r="D369" s="6"/>
    </row>
    <row r="370" spans="1:4" x14ac:dyDescent="0.2">
      <c r="A370" s="5"/>
      <c r="C370" s="6"/>
      <c r="D370" s="6"/>
    </row>
    <row r="371" spans="1:4" x14ac:dyDescent="0.2">
      <c r="A371" s="5"/>
      <c r="C371" s="6"/>
      <c r="D371" s="6"/>
    </row>
    <row r="372" spans="1:4" x14ac:dyDescent="0.2">
      <c r="A372" s="5"/>
      <c r="C372" s="6"/>
      <c r="D372" s="6"/>
    </row>
    <row r="373" spans="1:4" x14ac:dyDescent="0.2">
      <c r="A373" s="5"/>
      <c r="C373" s="6"/>
      <c r="D373" s="6"/>
    </row>
    <row r="374" spans="1:4" x14ac:dyDescent="0.2">
      <c r="A374" s="5"/>
      <c r="C374" s="6"/>
      <c r="D374" s="6"/>
    </row>
    <row r="375" spans="1:4" x14ac:dyDescent="0.2">
      <c r="A375" s="5"/>
      <c r="C375" s="6"/>
      <c r="D375" s="6"/>
    </row>
    <row r="376" spans="1:4" x14ac:dyDescent="0.2">
      <c r="A376" s="5"/>
      <c r="C376" s="6"/>
      <c r="D376" s="6"/>
    </row>
    <row r="377" spans="1:4" x14ac:dyDescent="0.2">
      <c r="A377" s="5"/>
      <c r="C377" s="6"/>
      <c r="D377" s="6"/>
    </row>
    <row r="378" spans="1:4" x14ac:dyDescent="0.2">
      <c r="A378" s="5"/>
      <c r="C378" s="6"/>
      <c r="D378" s="6"/>
    </row>
    <row r="379" spans="1:4" x14ac:dyDescent="0.2">
      <c r="A379" s="5"/>
      <c r="C379" s="6"/>
      <c r="D379" s="6"/>
    </row>
    <row r="380" spans="1:4" x14ac:dyDescent="0.2">
      <c r="A380" s="5"/>
      <c r="C380" s="6"/>
      <c r="D380" s="6"/>
    </row>
    <row r="381" spans="1:4" x14ac:dyDescent="0.2">
      <c r="A381" s="5"/>
      <c r="C381" s="6"/>
      <c r="D381" s="6"/>
    </row>
    <row r="382" spans="1:4" x14ac:dyDescent="0.2">
      <c r="A382" s="5"/>
      <c r="C382" s="6"/>
      <c r="D382" s="6"/>
    </row>
    <row r="383" spans="1:4" x14ac:dyDescent="0.2">
      <c r="A383" s="5"/>
      <c r="C383" s="6"/>
      <c r="D383" s="6"/>
    </row>
    <row r="384" spans="1:4" x14ac:dyDescent="0.2">
      <c r="A384" s="5"/>
      <c r="C384" s="6"/>
      <c r="D384" s="6"/>
    </row>
    <row r="385" spans="1:4" x14ac:dyDescent="0.2">
      <c r="A385" s="5"/>
      <c r="C385" s="6"/>
      <c r="D385" s="6"/>
    </row>
    <row r="386" spans="1:4" x14ac:dyDescent="0.2">
      <c r="A386" s="5"/>
      <c r="C386" s="6"/>
      <c r="D386" s="6"/>
    </row>
    <row r="387" spans="1:4" x14ac:dyDescent="0.2">
      <c r="A387" s="5"/>
      <c r="C387" s="6"/>
      <c r="D387" s="6"/>
    </row>
    <row r="388" spans="1:4" x14ac:dyDescent="0.2">
      <c r="A388" s="5"/>
      <c r="C388" s="6"/>
      <c r="D388" s="6"/>
    </row>
    <row r="389" spans="1:4" x14ac:dyDescent="0.2">
      <c r="A389" s="5"/>
      <c r="C389" s="6"/>
      <c r="D389" s="6"/>
    </row>
    <row r="390" spans="1:4" x14ac:dyDescent="0.2">
      <c r="A390" s="5"/>
      <c r="C390" s="6"/>
      <c r="D390" s="6"/>
    </row>
    <row r="391" spans="1:4" x14ac:dyDescent="0.2">
      <c r="A391" s="5"/>
      <c r="C391" s="6"/>
      <c r="D391" s="6"/>
    </row>
    <row r="392" spans="1:4" x14ac:dyDescent="0.2">
      <c r="A392" s="5"/>
      <c r="C392" s="6"/>
      <c r="D392" s="6"/>
    </row>
    <row r="393" spans="1:4" x14ac:dyDescent="0.2">
      <c r="A393" s="5"/>
      <c r="C393" s="6"/>
      <c r="D393" s="6"/>
    </row>
    <row r="394" spans="1:4" x14ac:dyDescent="0.2">
      <c r="A394" s="5"/>
      <c r="C394" s="6"/>
      <c r="D394" s="6"/>
    </row>
    <row r="395" spans="1:4" x14ac:dyDescent="0.2">
      <c r="A395" s="5"/>
      <c r="C395" s="6"/>
      <c r="D395" s="6"/>
    </row>
    <row r="396" spans="1:4" x14ac:dyDescent="0.2">
      <c r="A396" s="5"/>
      <c r="C396" s="6"/>
      <c r="D396" s="6"/>
    </row>
    <row r="397" spans="1:4" x14ac:dyDescent="0.2">
      <c r="A397" s="5"/>
      <c r="C397" s="6"/>
      <c r="D397" s="6"/>
    </row>
    <row r="398" spans="1:4" x14ac:dyDescent="0.2">
      <c r="A398" s="5"/>
      <c r="C398" s="6"/>
      <c r="D398" s="6"/>
    </row>
    <row r="399" spans="1:4" x14ac:dyDescent="0.2">
      <c r="A399" s="5"/>
      <c r="C399" s="6"/>
      <c r="D399" s="6"/>
    </row>
    <row r="400" spans="1:4" x14ac:dyDescent="0.2">
      <c r="A400" s="5"/>
      <c r="C400" s="6"/>
      <c r="D400" s="6"/>
    </row>
    <row r="401" spans="1:4" x14ac:dyDescent="0.2">
      <c r="A401" s="5"/>
      <c r="C401" s="6"/>
      <c r="D401" s="6"/>
    </row>
    <row r="402" spans="1:4" x14ac:dyDescent="0.2">
      <c r="A402" s="5"/>
      <c r="C402" s="6"/>
      <c r="D402" s="6"/>
    </row>
    <row r="403" spans="1:4" x14ac:dyDescent="0.2">
      <c r="A403" s="5"/>
      <c r="C403" s="6"/>
      <c r="D403" s="6"/>
    </row>
    <row r="404" spans="1:4" x14ac:dyDescent="0.2">
      <c r="A404" s="5"/>
      <c r="C404" s="6"/>
      <c r="D404" s="6"/>
    </row>
    <row r="405" spans="1:4" x14ac:dyDescent="0.2">
      <c r="A405" s="5"/>
      <c r="C405" s="6"/>
      <c r="D405" s="6"/>
    </row>
    <row r="406" spans="1:4" x14ac:dyDescent="0.2">
      <c r="A406" s="5"/>
      <c r="C406" s="6"/>
      <c r="D406" s="6"/>
    </row>
    <row r="407" spans="1:4" x14ac:dyDescent="0.2">
      <c r="A407" s="5"/>
      <c r="C407" s="6"/>
      <c r="D407" s="6"/>
    </row>
    <row r="408" spans="1:4" x14ac:dyDescent="0.2">
      <c r="A408" s="5"/>
      <c r="C408" s="6"/>
      <c r="D408" s="6"/>
    </row>
    <row r="409" spans="1:4" x14ac:dyDescent="0.2">
      <c r="A409" s="5"/>
      <c r="C409" s="6"/>
      <c r="D409" s="6"/>
    </row>
    <row r="410" spans="1:4" x14ac:dyDescent="0.2">
      <c r="A410" s="5"/>
      <c r="C410" s="6"/>
      <c r="D410" s="6"/>
    </row>
    <row r="411" spans="1:4" x14ac:dyDescent="0.2">
      <c r="A411" s="5"/>
      <c r="C411" s="6"/>
      <c r="D411" s="6"/>
    </row>
    <row r="412" spans="1:4" x14ac:dyDescent="0.2">
      <c r="A412" s="5"/>
      <c r="C412" s="6"/>
      <c r="D412" s="6"/>
    </row>
    <row r="413" spans="1:4" x14ac:dyDescent="0.2">
      <c r="A413" s="5"/>
      <c r="C413" s="6"/>
      <c r="D413" s="6"/>
    </row>
    <row r="414" spans="1:4" x14ac:dyDescent="0.2">
      <c r="A414" s="5"/>
      <c r="C414" s="6"/>
      <c r="D414" s="6"/>
    </row>
    <row r="415" spans="1:4" x14ac:dyDescent="0.2">
      <c r="A415" s="5"/>
      <c r="C415" s="6"/>
      <c r="D415" s="6"/>
    </row>
    <row r="416" spans="1:4" x14ac:dyDescent="0.2">
      <c r="A416" s="5"/>
      <c r="C416" s="6"/>
      <c r="D416" s="6"/>
    </row>
    <row r="417" spans="1:4" x14ac:dyDescent="0.2">
      <c r="A417" s="5"/>
      <c r="C417" s="6"/>
      <c r="D417" s="6"/>
    </row>
    <row r="418" spans="1:4" x14ac:dyDescent="0.2">
      <c r="A418" s="5"/>
      <c r="C418" s="6"/>
      <c r="D418" s="6"/>
    </row>
    <row r="419" spans="1:4" x14ac:dyDescent="0.2">
      <c r="A419" s="5"/>
      <c r="C419" s="6"/>
      <c r="D419" s="6"/>
    </row>
    <row r="420" spans="1:4" x14ac:dyDescent="0.2">
      <c r="A420" s="5"/>
      <c r="C420" s="6"/>
      <c r="D420" s="6"/>
    </row>
    <row r="421" spans="1:4" x14ac:dyDescent="0.2">
      <c r="A421" s="5"/>
      <c r="C421" s="6"/>
      <c r="D421" s="6"/>
    </row>
    <row r="422" spans="1:4" x14ac:dyDescent="0.2">
      <c r="A422" s="5"/>
      <c r="C422" s="6"/>
      <c r="D422" s="6"/>
    </row>
    <row r="423" spans="1:4" x14ac:dyDescent="0.2">
      <c r="A423" s="5"/>
      <c r="C423" s="6"/>
      <c r="D423" s="6"/>
    </row>
    <row r="424" spans="1:4" x14ac:dyDescent="0.2">
      <c r="A424" s="5"/>
      <c r="C424" s="6"/>
      <c r="D424" s="6"/>
    </row>
    <row r="425" spans="1:4" x14ac:dyDescent="0.2">
      <c r="A425" s="5"/>
      <c r="C425" s="6"/>
      <c r="D425" s="6"/>
    </row>
    <row r="426" spans="1:4" x14ac:dyDescent="0.2">
      <c r="A426" s="5"/>
      <c r="C426" s="6"/>
      <c r="D426" s="6"/>
    </row>
    <row r="427" spans="1:4" x14ac:dyDescent="0.2">
      <c r="A427" s="5"/>
      <c r="C427" s="6"/>
      <c r="D427" s="6"/>
    </row>
    <row r="428" spans="1:4" x14ac:dyDescent="0.2">
      <c r="A428" s="5"/>
      <c r="C428" s="6"/>
      <c r="D428" s="6"/>
    </row>
    <row r="429" spans="1:4" x14ac:dyDescent="0.2">
      <c r="A429" s="5"/>
      <c r="C429" s="6"/>
      <c r="D429" s="6"/>
    </row>
    <row r="430" spans="1:4" x14ac:dyDescent="0.2">
      <c r="A430" s="5"/>
      <c r="C430" s="6"/>
      <c r="D430" s="6"/>
    </row>
    <row r="431" spans="1:4" x14ac:dyDescent="0.2">
      <c r="A431" s="5"/>
      <c r="C431" s="6"/>
      <c r="D431" s="6"/>
    </row>
    <row r="432" spans="1:4" x14ac:dyDescent="0.2">
      <c r="A432" s="5"/>
      <c r="C432" s="6"/>
      <c r="D432" s="6"/>
    </row>
    <row r="433" spans="1:4" x14ac:dyDescent="0.2">
      <c r="A433" s="5"/>
      <c r="C433" s="6"/>
      <c r="D433" s="6"/>
    </row>
    <row r="434" spans="1:4" x14ac:dyDescent="0.2">
      <c r="A434" s="5"/>
      <c r="C434" s="6"/>
      <c r="D434" s="6"/>
    </row>
    <row r="435" spans="1:4" x14ac:dyDescent="0.2">
      <c r="A435" s="5"/>
      <c r="C435" s="6"/>
      <c r="D435" s="6"/>
    </row>
    <row r="436" spans="1:4" x14ac:dyDescent="0.2">
      <c r="A436" s="5"/>
      <c r="C436" s="6"/>
      <c r="D436" s="6"/>
    </row>
    <row r="437" spans="1:4" x14ac:dyDescent="0.2">
      <c r="A437" s="5"/>
      <c r="C437" s="6"/>
      <c r="D437" s="6"/>
    </row>
    <row r="438" spans="1:4" x14ac:dyDescent="0.2">
      <c r="A438" s="5"/>
      <c r="C438" s="6"/>
      <c r="D438" s="6"/>
    </row>
    <row r="439" spans="1:4" x14ac:dyDescent="0.2">
      <c r="A439" s="5"/>
      <c r="C439" s="6"/>
      <c r="D439" s="6"/>
    </row>
    <row r="440" spans="1:4" x14ac:dyDescent="0.2">
      <c r="A440" s="5"/>
      <c r="C440" s="6"/>
      <c r="D440" s="6"/>
    </row>
    <row r="441" spans="1:4" x14ac:dyDescent="0.2">
      <c r="A441" s="5"/>
      <c r="C441" s="6"/>
      <c r="D441" s="6"/>
    </row>
    <row r="442" spans="1:4" x14ac:dyDescent="0.2">
      <c r="A442" s="5"/>
      <c r="C442" s="6"/>
      <c r="D442" s="6"/>
    </row>
    <row r="443" spans="1:4" x14ac:dyDescent="0.2">
      <c r="A443" s="5"/>
      <c r="C443" s="6"/>
      <c r="D443" s="6"/>
    </row>
    <row r="444" spans="1:4" x14ac:dyDescent="0.2">
      <c r="A444" s="5"/>
      <c r="C444" s="6"/>
      <c r="D444" s="6"/>
    </row>
    <row r="445" spans="1:4" x14ac:dyDescent="0.2">
      <c r="A445" s="5"/>
      <c r="C445" s="6"/>
      <c r="D445" s="6"/>
    </row>
    <row r="446" spans="1:4" x14ac:dyDescent="0.2">
      <c r="A446" s="5"/>
      <c r="C446" s="6"/>
      <c r="D446" s="6"/>
    </row>
    <row r="447" spans="1:4" x14ac:dyDescent="0.2">
      <c r="A447" s="5"/>
      <c r="C447" s="6"/>
      <c r="D447" s="6"/>
    </row>
    <row r="448" spans="1:4" x14ac:dyDescent="0.2">
      <c r="A448" s="5"/>
      <c r="C448" s="6"/>
      <c r="D448" s="6"/>
    </row>
    <row r="449" spans="1:4" x14ac:dyDescent="0.2">
      <c r="A449" s="5"/>
      <c r="C449" s="6"/>
      <c r="D449" s="6"/>
    </row>
    <row r="450" spans="1:4" x14ac:dyDescent="0.2">
      <c r="A450" s="5"/>
      <c r="C450" s="6"/>
      <c r="D450" s="6"/>
    </row>
    <row r="451" spans="1:4" x14ac:dyDescent="0.2">
      <c r="A451" s="5"/>
      <c r="C451" s="6"/>
      <c r="D451" s="6"/>
    </row>
    <row r="452" spans="1:4" x14ac:dyDescent="0.2">
      <c r="A452" s="5"/>
      <c r="C452" s="6"/>
      <c r="D452" s="6"/>
    </row>
    <row r="453" spans="1:4" x14ac:dyDescent="0.2">
      <c r="A453" s="5"/>
      <c r="C453" s="6"/>
      <c r="D453" s="6"/>
    </row>
    <row r="454" spans="1:4" x14ac:dyDescent="0.2">
      <c r="A454" s="5"/>
      <c r="C454" s="6"/>
      <c r="D454" s="6"/>
    </row>
    <row r="455" spans="1:4" x14ac:dyDescent="0.2">
      <c r="A455" s="5"/>
      <c r="C455" s="6"/>
      <c r="D455" s="6"/>
    </row>
    <row r="456" spans="1:4" x14ac:dyDescent="0.2">
      <c r="A456" s="5"/>
      <c r="C456" s="6"/>
      <c r="D456" s="6"/>
    </row>
    <row r="457" spans="1:4" x14ac:dyDescent="0.2">
      <c r="A457" s="5"/>
      <c r="C457" s="6"/>
      <c r="D457" s="6"/>
    </row>
    <row r="458" spans="1:4" x14ac:dyDescent="0.2">
      <c r="A458" s="5"/>
      <c r="C458" s="6"/>
      <c r="D458" s="6"/>
    </row>
    <row r="459" spans="1:4" x14ac:dyDescent="0.2">
      <c r="A459" s="5"/>
      <c r="C459" s="6"/>
      <c r="D459" s="6"/>
    </row>
    <row r="460" spans="1:4" x14ac:dyDescent="0.2">
      <c r="A460" s="5"/>
      <c r="C460" s="6"/>
      <c r="D460" s="6"/>
    </row>
    <row r="461" spans="1:4" x14ac:dyDescent="0.2">
      <c r="A461" s="5"/>
      <c r="C461" s="6"/>
      <c r="D461" s="6"/>
    </row>
    <row r="462" spans="1:4" x14ac:dyDescent="0.2">
      <c r="A462" s="5"/>
      <c r="C462" s="6"/>
      <c r="D462" s="6"/>
    </row>
    <row r="463" spans="1:4" x14ac:dyDescent="0.2">
      <c r="A463" s="5"/>
      <c r="C463" s="6"/>
      <c r="D463" s="6"/>
    </row>
    <row r="464" spans="1:4" x14ac:dyDescent="0.2">
      <c r="A464" s="5"/>
      <c r="C464" s="6"/>
      <c r="D464" s="6"/>
    </row>
    <row r="465" spans="1:4" x14ac:dyDescent="0.2">
      <c r="A465" s="5"/>
      <c r="C465" s="6"/>
      <c r="D465" s="6"/>
    </row>
    <row r="466" spans="1:4" x14ac:dyDescent="0.2">
      <c r="A466" s="5"/>
      <c r="C466" s="6"/>
      <c r="D466" s="6"/>
    </row>
    <row r="467" spans="1:4" x14ac:dyDescent="0.2">
      <c r="A467" s="5"/>
      <c r="C467" s="6"/>
      <c r="D467" s="6"/>
    </row>
    <row r="468" spans="1:4" x14ac:dyDescent="0.2">
      <c r="A468" s="5"/>
      <c r="C468" s="6"/>
      <c r="D468" s="6"/>
    </row>
    <row r="469" spans="1:4" x14ac:dyDescent="0.2">
      <c r="A469" s="5"/>
      <c r="C469" s="6"/>
      <c r="D469" s="6"/>
    </row>
    <row r="470" spans="1:4" x14ac:dyDescent="0.2">
      <c r="A470" s="5"/>
      <c r="C470" s="6"/>
      <c r="D470" s="6"/>
    </row>
    <row r="471" spans="1:4" x14ac:dyDescent="0.2">
      <c r="A471" s="5"/>
      <c r="C471" s="6"/>
      <c r="D471" s="6"/>
    </row>
    <row r="472" spans="1:4" x14ac:dyDescent="0.2">
      <c r="A472" s="5"/>
      <c r="C472" s="6"/>
      <c r="D472" s="6"/>
    </row>
    <row r="473" spans="1:4" x14ac:dyDescent="0.2">
      <c r="A473" s="5"/>
      <c r="C473" s="6"/>
      <c r="D473" s="6"/>
    </row>
    <row r="474" spans="1:4" x14ac:dyDescent="0.2">
      <c r="A474" s="5"/>
      <c r="C474" s="6"/>
      <c r="D474" s="6"/>
    </row>
    <row r="475" spans="1:4" x14ac:dyDescent="0.2">
      <c r="A475" s="5"/>
      <c r="C475" s="6"/>
      <c r="D475" s="6"/>
    </row>
    <row r="476" spans="1:4" x14ac:dyDescent="0.2">
      <c r="A476" s="5"/>
      <c r="C476" s="6"/>
      <c r="D476" s="6"/>
    </row>
    <row r="477" spans="1:4" x14ac:dyDescent="0.2">
      <c r="A477" s="5"/>
      <c r="C477" s="6"/>
      <c r="D477" s="6"/>
    </row>
    <row r="478" spans="1:4" x14ac:dyDescent="0.2">
      <c r="A478" s="5"/>
      <c r="C478" s="6"/>
      <c r="D478" s="6"/>
    </row>
    <row r="479" spans="1:4" x14ac:dyDescent="0.2">
      <c r="A479" s="5"/>
      <c r="C479" s="6"/>
      <c r="D479" s="6"/>
    </row>
    <row r="480" spans="1:4" x14ac:dyDescent="0.2">
      <c r="A480" s="5"/>
      <c r="C480" s="6"/>
      <c r="D480" s="6"/>
    </row>
    <row r="481" spans="1:4" x14ac:dyDescent="0.2">
      <c r="A481" s="5"/>
      <c r="C481" s="6"/>
      <c r="D481" s="6"/>
    </row>
    <row r="482" spans="1:4" x14ac:dyDescent="0.2">
      <c r="A482" s="5"/>
      <c r="C482" s="6"/>
      <c r="D482" s="6"/>
    </row>
    <row r="483" spans="1:4" x14ac:dyDescent="0.2">
      <c r="A483" s="5"/>
      <c r="C483" s="6"/>
      <c r="D483" s="6"/>
    </row>
    <row r="484" spans="1:4" x14ac:dyDescent="0.2">
      <c r="A484" s="5"/>
      <c r="C484" s="6"/>
      <c r="D484" s="6"/>
    </row>
    <row r="485" spans="1:4" x14ac:dyDescent="0.2">
      <c r="A485" s="5"/>
      <c r="C485" s="6"/>
      <c r="D485" s="6"/>
    </row>
    <row r="486" spans="1:4" x14ac:dyDescent="0.2">
      <c r="A486" s="5"/>
      <c r="C486" s="6"/>
      <c r="D486" s="6"/>
    </row>
    <row r="487" spans="1:4" x14ac:dyDescent="0.2">
      <c r="A487" s="5"/>
      <c r="C487" s="6"/>
      <c r="D487" s="6"/>
    </row>
    <row r="488" spans="1:4" x14ac:dyDescent="0.2">
      <c r="A488" s="5"/>
      <c r="C488" s="6"/>
      <c r="D488" s="6"/>
    </row>
    <row r="489" spans="1:4" x14ac:dyDescent="0.2">
      <c r="A489" s="5"/>
      <c r="C489" s="6"/>
      <c r="D489" s="6"/>
    </row>
    <row r="490" spans="1:4" x14ac:dyDescent="0.2">
      <c r="A490" s="5"/>
      <c r="C490" s="6"/>
      <c r="D490" s="6"/>
    </row>
    <row r="491" spans="1:4" x14ac:dyDescent="0.2">
      <c r="A491" s="5"/>
      <c r="C491" s="6"/>
      <c r="D491" s="6"/>
    </row>
    <row r="492" spans="1:4" x14ac:dyDescent="0.2">
      <c r="A492" s="5"/>
      <c r="C492" s="6"/>
      <c r="D492" s="6"/>
    </row>
    <row r="493" spans="1:4" x14ac:dyDescent="0.2">
      <c r="A493" s="5"/>
      <c r="C493" s="6"/>
      <c r="D493" s="6"/>
    </row>
    <row r="494" spans="1:4" x14ac:dyDescent="0.2">
      <c r="A494" s="5"/>
      <c r="C494" s="6"/>
      <c r="D494" s="6"/>
    </row>
    <row r="495" spans="1:4" x14ac:dyDescent="0.2">
      <c r="A495" s="5"/>
      <c r="C495" s="6"/>
      <c r="D495" s="6"/>
    </row>
    <row r="496" spans="1:4" x14ac:dyDescent="0.2">
      <c r="A496" s="5"/>
      <c r="C496" s="6"/>
      <c r="D496" s="6"/>
    </row>
    <row r="497" spans="1:4" x14ac:dyDescent="0.2">
      <c r="A497" s="5"/>
      <c r="C497" s="6"/>
      <c r="D497" s="6"/>
    </row>
    <row r="498" spans="1:4" x14ac:dyDescent="0.2">
      <c r="A498" s="5"/>
      <c r="C498" s="6"/>
      <c r="D498" s="6"/>
    </row>
    <row r="499" spans="1:4" x14ac:dyDescent="0.2">
      <c r="A499" s="5"/>
      <c r="C499" s="6"/>
      <c r="D499" s="6"/>
    </row>
    <row r="500" spans="1:4" x14ac:dyDescent="0.2">
      <c r="A500" s="5"/>
      <c r="C500" s="6"/>
      <c r="D500" s="6"/>
    </row>
    <row r="501" spans="1:4" x14ac:dyDescent="0.2">
      <c r="A501" s="5"/>
      <c r="C501" s="6"/>
      <c r="D501" s="6"/>
    </row>
    <row r="502" spans="1:4" x14ac:dyDescent="0.2">
      <c r="A502" s="5"/>
      <c r="C502" s="6"/>
      <c r="D502" s="6"/>
    </row>
    <row r="503" spans="1:4" x14ac:dyDescent="0.2">
      <c r="A503" s="5"/>
      <c r="C503" s="6"/>
      <c r="D503" s="6"/>
    </row>
    <row r="504" spans="1:4" x14ac:dyDescent="0.2">
      <c r="A504" s="5"/>
      <c r="C504" s="6"/>
      <c r="D504" s="6"/>
    </row>
    <row r="505" spans="1:4" x14ac:dyDescent="0.2">
      <c r="A505" s="5"/>
      <c r="C505" s="6"/>
      <c r="D505" s="6"/>
    </row>
    <row r="506" spans="1:4" x14ac:dyDescent="0.2">
      <c r="A506" s="5"/>
      <c r="C506" s="6"/>
      <c r="D506" s="6"/>
    </row>
    <row r="507" spans="1:4" x14ac:dyDescent="0.2">
      <c r="A507" s="5"/>
      <c r="C507" s="6"/>
      <c r="D507" s="6"/>
    </row>
    <row r="508" spans="1:4" x14ac:dyDescent="0.2">
      <c r="A508" s="5"/>
      <c r="C508" s="6"/>
      <c r="D508" s="6"/>
    </row>
    <row r="509" spans="1:4" x14ac:dyDescent="0.2">
      <c r="A509" s="5"/>
      <c r="C509" s="6"/>
      <c r="D509" s="6"/>
    </row>
    <row r="510" spans="1:4" x14ac:dyDescent="0.2">
      <c r="A510" s="5"/>
      <c r="C510" s="6"/>
      <c r="D510" s="6"/>
    </row>
    <row r="511" spans="1:4" x14ac:dyDescent="0.2">
      <c r="A511" s="5"/>
      <c r="C511" s="6"/>
      <c r="D511" s="6"/>
    </row>
    <row r="512" spans="1:4" x14ac:dyDescent="0.2">
      <c r="A512" s="5"/>
      <c r="C512" s="6"/>
      <c r="D512" s="6"/>
    </row>
    <row r="513" spans="1:4" x14ac:dyDescent="0.2">
      <c r="A513" s="5"/>
      <c r="C513" s="6"/>
      <c r="D513" s="6"/>
    </row>
    <row r="514" spans="1:4" x14ac:dyDescent="0.2">
      <c r="A514" s="5"/>
      <c r="C514" s="6"/>
      <c r="D514" s="6"/>
    </row>
    <row r="515" spans="1:4" x14ac:dyDescent="0.2">
      <c r="A515" s="5"/>
      <c r="C515" s="6"/>
      <c r="D515" s="6"/>
    </row>
    <row r="516" spans="1:4" x14ac:dyDescent="0.2">
      <c r="A516" s="5"/>
      <c r="C516" s="6"/>
      <c r="D516" s="6"/>
    </row>
    <row r="517" spans="1:4" x14ac:dyDescent="0.2">
      <c r="A517" s="5"/>
      <c r="C517" s="6"/>
      <c r="D517" s="6"/>
    </row>
    <row r="518" spans="1:4" x14ac:dyDescent="0.2">
      <c r="A518" s="5"/>
      <c r="C518" s="6"/>
      <c r="D518" s="6"/>
    </row>
    <row r="519" spans="1:4" x14ac:dyDescent="0.2">
      <c r="A519" s="5"/>
      <c r="C519" s="6"/>
      <c r="D519" s="6"/>
    </row>
    <row r="520" spans="1:4" x14ac:dyDescent="0.2">
      <c r="A520" s="5"/>
      <c r="C520" s="6"/>
      <c r="D520" s="6"/>
    </row>
    <row r="521" spans="1:4" x14ac:dyDescent="0.2">
      <c r="A521" s="5"/>
      <c r="C521" s="6"/>
      <c r="D521" s="6"/>
    </row>
    <row r="522" spans="1:4" x14ac:dyDescent="0.2">
      <c r="A522" s="5"/>
      <c r="C522" s="6"/>
      <c r="D522" s="6"/>
    </row>
    <row r="523" spans="1:4" x14ac:dyDescent="0.2">
      <c r="A523" s="5"/>
      <c r="C523" s="6"/>
      <c r="D523" s="6"/>
    </row>
    <row r="524" spans="1:4" x14ac:dyDescent="0.2">
      <c r="A524" s="5"/>
      <c r="C524" s="6"/>
      <c r="D524" s="6"/>
    </row>
    <row r="525" spans="1:4" x14ac:dyDescent="0.2">
      <c r="A525" s="5"/>
      <c r="C525" s="6"/>
      <c r="D525" s="6"/>
    </row>
    <row r="526" spans="1:4" x14ac:dyDescent="0.2">
      <c r="A526" s="5"/>
      <c r="C526" s="6"/>
      <c r="D526" s="6"/>
    </row>
    <row r="527" spans="1:4" x14ac:dyDescent="0.2">
      <c r="A527" s="5"/>
      <c r="C527" s="6"/>
      <c r="D527" s="6"/>
    </row>
    <row r="528" spans="1:4" x14ac:dyDescent="0.2">
      <c r="A528" s="5"/>
      <c r="C528" s="6"/>
      <c r="D528" s="6"/>
    </row>
    <row r="529" spans="1:4" x14ac:dyDescent="0.2">
      <c r="A529" s="5"/>
      <c r="C529" s="6"/>
      <c r="D529" s="6"/>
    </row>
    <row r="530" spans="1:4" x14ac:dyDescent="0.2">
      <c r="A530" s="5"/>
      <c r="C530" s="6"/>
      <c r="D530" s="6"/>
    </row>
    <row r="531" spans="1:4" x14ac:dyDescent="0.2">
      <c r="A531" s="5"/>
      <c r="C531" s="6"/>
      <c r="D531" s="6"/>
    </row>
    <row r="532" spans="1:4" x14ac:dyDescent="0.2">
      <c r="A532" s="5"/>
      <c r="C532" s="6"/>
      <c r="D532" s="6"/>
    </row>
    <row r="533" spans="1:4" x14ac:dyDescent="0.2">
      <c r="A533" s="5"/>
      <c r="C533" s="6"/>
      <c r="D533" s="6"/>
    </row>
    <row r="534" spans="1:4" x14ac:dyDescent="0.2">
      <c r="A534" s="5"/>
      <c r="C534" s="6"/>
      <c r="D534" s="6"/>
    </row>
    <row r="535" spans="1:4" x14ac:dyDescent="0.2">
      <c r="A535" s="5"/>
      <c r="C535" s="6"/>
      <c r="D535" s="6"/>
    </row>
    <row r="536" spans="1:4" x14ac:dyDescent="0.2">
      <c r="A536" s="5"/>
      <c r="C536" s="6"/>
      <c r="D536" s="6"/>
    </row>
    <row r="537" spans="1:4" x14ac:dyDescent="0.2">
      <c r="A537" s="5"/>
      <c r="C537" s="6"/>
      <c r="D537" s="6"/>
    </row>
    <row r="538" spans="1:4" x14ac:dyDescent="0.2">
      <c r="A538" s="5"/>
      <c r="C538" s="6"/>
      <c r="D538" s="6"/>
    </row>
    <row r="539" spans="1:4" x14ac:dyDescent="0.2">
      <c r="A539" s="5"/>
      <c r="C539" s="6"/>
      <c r="D539" s="6"/>
    </row>
    <row r="540" spans="1:4" x14ac:dyDescent="0.2">
      <c r="A540" s="5"/>
      <c r="C540" s="6"/>
      <c r="D540" s="6"/>
    </row>
    <row r="541" spans="1:4" x14ac:dyDescent="0.2">
      <c r="A541" s="5"/>
      <c r="C541" s="6"/>
      <c r="D541" s="6"/>
    </row>
    <row r="542" spans="1:4" x14ac:dyDescent="0.2">
      <c r="A542" s="5"/>
      <c r="C542" s="6"/>
      <c r="D542" s="6"/>
    </row>
    <row r="543" spans="1:4" x14ac:dyDescent="0.2">
      <c r="A543" s="5"/>
      <c r="C543" s="6"/>
      <c r="D543" s="6"/>
    </row>
    <row r="544" spans="1:4" x14ac:dyDescent="0.2">
      <c r="A544" s="5"/>
      <c r="C544" s="6"/>
      <c r="D544" s="6"/>
    </row>
    <row r="545" spans="1:4" x14ac:dyDescent="0.2">
      <c r="A545" s="5"/>
      <c r="C545" s="6"/>
      <c r="D545" s="6"/>
    </row>
    <row r="546" spans="1:4" x14ac:dyDescent="0.2">
      <c r="A546" s="5"/>
      <c r="C546" s="6"/>
      <c r="D546" s="6"/>
    </row>
    <row r="547" spans="1:4" x14ac:dyDescent="0.2">
      <c r="A547" s="5"/>
      <c r="C547" s="6"/>
      <c r="D547" s="6"/>
    </row>
    <row r="548" spans="1:4" x14ac:dyDescent="0.2">
      <c r="A548" s="5"/>
      <c r="C548" s="6"/>
      <c r="D548" s="6"/>
    </row>
    <row r="549" spans="1:4" x14ac:dyDescent="0.2">
      <c r="A549" s="5"/>
      <c r="C549" s="6"/>
      <c r="D549" s="6"/>
    </row>
    <row r="550" spans="1:4" x14ac:dyDescent="0.2">
      <c r="A550" s="5"/>
      <c r="C550" s="6"/>
      <c r="D550" s="6"/>
    </row>
    <row r="551" spans="1:4" x14ac:dyDescent="0.2">
      <c r="A551" s="5"/>
      <c r="C551" s="6"/>
      <c r="D551" s="6"/>
    </row>
    <row r="552" spans="1:4" x14ac:dyDescent="0.2">
      <c r="A552" s="5"/>
      <c r="C552" s="6"/>
      <c r="D552" s="6"/>
    </row>
    <row r="553" spans="1:4" x14ac:dyDescent="0.2">
      <c r="A553" s="5"/>
      <c r="C553" s="6"/>
      <c r="D553" s="6"/>
    </row>
    <row r="554" spans="1:4" x14ac:dyDescent="0.2">
      <c r="A554" s="5"/>
      <c r="C554" s="6"/>
      <c r="D554" s="6"/>
    </row>
    <row r="555" spans="1:4" x14ac:dyDescent="0.2">
      <c r="A555" s="5"/>
      <c r="C555" s="6"/>
      <c r="D555" s="6"/>
    </row>
    <row r="556" spans="1:4" x14ac:dyDescent="0.2">
      <c r="A556" s="5"/>
      <c r="C556" s="6"/>
      <c r="D556" s="6"/>
    </row>
    <row r="557" spans="1:4" x14ac:dyDescent="0.2">
      <c r="A557" s="5"/>
      <c r="C557" s="6"/>
      <c r="D557" s="6"/>
    </row>
    <row r="558" spans="1:4" x14ac:dyDescent="0.2">
      <c r="A558" s="5"/>
      <c r="C558" s="6"/>
      <c r="D558" s="6"/>
    </row>
    <row r="559" spans="1:4" x14ac:dyDescent="0.2">
      <c r="A559" s="5"/>
      <c r="C559" s="6"/>
      <c r="D559" s="6"/>
    </row>
    <row r="560" spans="1:4" x14ac:dyDescent="0.2">
      <c r="A560" s="5"/>
      <c r="C560" s="6"/>
      <c r="D560" s="6"/>
    </row>
    <row r="561" spans="1:4" x14ac:dyDescent="0.2">
      <c r="A561" s="5"/>
      <c r="C561" s="6"/>
      <c r="D561" s="6"/>
    </row>
    <row r="562" spans="1:4" x14ac:dyDescent="0.2">
      <c r="A562" s="5"/>
      <c r="C562" s="6"/>
      <c r="D562" s="6"/>
    </row>
    <row r="563" spans="1:4" x14ac:dyDescent="0.2">
      <c r="A563" s="5"/>
      <c r="C563" s="6"/>
      <c r="D563" s="6"/>
    </row>
    <row r="564" spans="1:4" x14ac:dyDescent="0.2">
      <c r="A564" s="5"/>
      <c r="C564" s="6"/>
      <c r="D564" s="6"/>
    </row>
    <row r="565" spans="1:4" x14ac:dyDescent="0.2">
      <c r="A565" s="5"/>
      <c r="C565" s="6"/>
      <c r="D565" s="6"/>
    </row>
    <row r="566" spans="1:4" x14ac:dyDescent="0.2">
      <c r="A566" s="5"/>
      <c r="C566" s="6"/>
      <c r="D566" s="6"/>
    </row>
    <row r="567" spans="1:4" x14ac:dyDescent="0.2">
      <c r="A567" s="5"/>
      <c r="C567" s="6"/>
      <c r="D567" s="6"/>
    </row>
    <row r="568" spans="1:4" x14ac:dyDescent="0.2">
      <c r="A568" s="5"/>
      <c r="C568" s="6"/>
      <c r="D568" s="6"/>
    </row>
    <row r="569" spans="1:4" x14ac:dyDescent="0.2">
      <c r="A569" s="5"/>
      <c r="C569" s="6"/>
      <c r="D569" s="6"/>
    </row>
    <row r="570" spans="1:4" x14ac:dyDescent="0.2">
      <c r="A570" s="5"/>
      <c r="C570" s="6"/>
      <c r="D570" s="6"/>
    </row>
    <row r="571" spans="1:4" x14ac:dyDescent="0.2">
      <c r="A571" s="5"/>
      <c r="C571" s="6"/>
      <c r="D571" s="6"/>
    </row>
    <row r="572" spans="1:4" x14ac:dyDescent="0.2">
      <c r="A572" s="5"/>
      <c r="C572" s="6"/>
      <c r="D572" s="6"/>
    </row>
    <row r="573" spans="1:4" x14ac:dyDescent="0.2">
      <c r="A573" s="5"/>
      <c r="C573" s="6"/>
      <c r="D573" s="6"/>
    </row>
    <row r="574" spans="1:4" x14ac:dyDescent="0.2">
      <c r="A574" s="5"/>
      <c r="C574" s="6"/>
      <c r="D574" s="6"/>
    </row>
    <row r="575" spans="1:4" x14ac:dyDescent="0.2">
      <c r="A575" s="5"/>
      <c r="C575" s="6"/>
      <c r="D575" s="6"/>
    </row>
    <row r="576" spans="1:4" x14ac:dyDescent="0.2">
      <c r="A576" s="5"/>
      <c r="C576" s="6"/>
      <c r="D576" s="6"/>
    </row>
    <row r="577" spans="1:4" x14ac:dyDescent="0.2">
      <c r="A577" s="5"/>
      <c r="C577" s="6"/>
      <c r="D577" s="6"/>
    </row>
    <row r="578" spans="1:4" x14ac:dyDescent="0.2">
      <c r="A578" s="5"/>
      <c r="C578" s="6"/>
      <c r="D578" s="6"/>
    </row>
    <row r="579" spans="1:4" x14ac:dyDescent="0.2">
      <c r="A579" s="5"/>
      <c r="C579" s="6"/>
      <c r="D579" s="6"/>
    </row>
    <row r="580" spans="1:4" x14ac:dyDescent="0.2">
      <c r="A580" s="5"/>
      <c r="C580" s="6"/>
      <c r="D580" s="6"/>
    </row>
    <row r="581" spans="1:4" x14ac:dyDescent="0.2">
      <c r="A581" s="5"/>
      <c r="C581" s="6"/>
      <c r="D581" s="6"/>
    </row>
    <row r="582" spans="1:4" x14ac:dyDescent="0.2">
      <c r="A582" s="5"/>
      <c r="C582" s="6"/>
      <c r="D582" s="6"/>
    </row>
    <row r="583" spans="1:4" x14ac:dyDescent="0.2">
      <c r="A583" s="5"/>
      <c r="C583" s="6"/>
      <c r="D583" s="6"/>
    </row>
    <row r="584" spans="1:4" x14ac:dyDescent="0.2">
      <c r="A584" s="5"/>
      <c r="C584" s="6"/>
      <c r="D584" s="6"/>
    </row>
    <row r="585" spans="1:4" x14ac:dyDescent="0.2">
      <c r="A585" s="5"/>
      <c r="C585" s="6"/>
      <c r="D585" s="6"/>
    </row>
    <row r="586" spans="1:4" x14ac:dyDescent="0.2">
      <c r="A586" s="5"/>
      <c r="C586" s="6"/>
      <c r="D586" s="6"/>
    </row>
    <row r="587" spans="1:4" x14ac:dyDescent="0.2">
      <c r="A587" s="5"/>
      <c r="C587" s="6"/>
      <c r="D587" s="6"/>
    </row>
    <row r="588" spans="1:4" x14ac:dyDescent="0.2">
      <c r="A588" s="5"/>
      <c r="C588" s="6"/>
      <c r="D588" s="6"/>
    </row>
    <row r="589" spans="1:4" x14ac:dyDescent="0.2">
      <c r="A589" s="5"/>
      <c r="C589" s="6"/>
      <c r="D589" s="6"/>
    </row>
    <row r="590" spans="1:4" x14ac:dyDescent="0.2">
      <c r="A590" s="5"/>
      <c r="C590" s="6"/>
      <c r="D590" s="6"/>
    </row>
    <row r="591" spans="1:4" x14ac:dyDescent="0.2">
      <c r="A591" s="5"/>
      <c r="C591" s="6"/>
      <c r="D591" s="6"/>
    </row>
    <row r="592" spans="1:4" x14ac:dyDescent="0.2">
      <c r="A592" s="5"/>
      <c r="C592" s="6"/>
      <c r="D592" s="6"/>
    </row>
    <row r="593" spans="1:4" x14ac:dyDescent="0.2">
      <c r="A593" s="5"/>
      <c r="C593" s="6"/>
      <c r="D593" s="6"/>
    </row>
    <row r="594" spans="1:4" x14ac:dyDescent="0.2">
      <c r="A594" s="5"/>
      <c r="C594" s="6"/>
      <c r="D594" s="6"/>
    </row>
    <row r="595" spans="1:4" x14ac:dyDescent="0.2">
      <c r="A595" s="5"/>
      <c r="C595" s="6"/>
      <c r="D595" s="6"/>
    </row>
    <row r="596" spans="1:4" x14ac:dyDescent="0.2">
      <c r="A596" s="5"/>
      <c r="C596" s="6"/>
      <c r="D596" s="6"/>
    </row>
    <row r="597" spans="1:4" x14ac:dyDescent="0.2">
      <c r="A597" s="5"/>
      <c r="C597" s="6"/>
      <c r="D597" s="6"/>
    </row>
    <row r="598" spans="1:4" x14ac:dyDescent="0.2">
      <c r="A598" s="5"/>
      <c r="C598" s="6"/>
      <c r="D598" s="6"/>
    </row>
    <row r="599" spans="1:4" x14ac:dyDescent="0.2">
      <c r="A599" s="5"/>
      <c r="C599" s="6"/>
      <c r="D599" s="6"/>
    </row>
    <row r="600" spans="1:4" x14ac:dyDescent="0.2">
      <c r="A600" s="5"/>
      <c r="C600" s="6"/>
      <c r="D600" s="6"/>
    </row>
    <row r="601" spans="1:4" x14ac:dyDescent="0.2">
      <c r="A601" s="5"/>
      <c r="C601" s="6"/>
      <c r="D601" s="6"/>
    </row>
    <row r="602" spans="1:4" x14ac:dyDescent="0.2">
      <c r="A602" s="5"/>
      <c r="C602" s="6"/>
      <c r="D602" s="6"/>
    </row>
    <row r="603" spans="1:4" x14ac:dyDescent="0.2">
      <c r="A603" s="5"/>
      <c r="C603" s="6"/>
      <c r="D603" s="6"/>
    </row>
    <row r="604" spans="1:4" x14ac:dyDescent="0.2">
      <c r="A604" s="5"/>
      <c r="C604" s="6"/>
      <c r="D604" s="6"/>
    </row>
    <row r="605" spans="1:4" x14ac:dyDescent="0.2">
      <c r="A605" s="5"/>
      <c r="C605" s="6"/>
      <c r="D605" s="6"/>
    </row>
    <row r="606" spans="1:4" x14ac:dyDescent="0.2">
      <c r="A606" s="5"/>
      <c r="C606" s="6"/>
      <c r="D606" s="6"/>
    </row>
    <row r="607" spans="1:4" x14ac:dyDescent="0.2">
      <c r="A607" s="5"/>
      <c r="C607" s="6"/>
      <c r="D607" s="6"/>
    </row>
    <row r="608" spans="1:4" x14ac:dyDescent="0.2">
      <c r="A608" s="5"/>
      <c r="C608" s="6"/>
      <c r="D608" s="6"/>
    </row>
    <row r="609" spans="1:4" x14ac:dyDescent="0.2">
      <c r="A609" s="5"/>
      <c r="C609" s="6"/>
      <c r="D609" s="6"/>
    </row>
    <row r="610" spans="1:4" x14ac:dyDescent="0.2">
      <c r="A610" s="5"/>
      <c r="C610" s="6"/>
      <c r="D610" s="6"/>
    </row>
    <row r="611" spans="1:4" x14ac:dyDescent="0.2">
      <c r="A611" s="5"/>
      <c r="C611" s="6"/>
      <c r="D611" s="6"/>
    </row>
    <row r="612" spans="1:4" x14ac:dyDescent="0.2">
      <c r="A612" s="5"/>
      <c r="C612" s="6"/>
      <c r="D612" s="6"/>
    </row>
    <row r="613" spans="1:4" x14ac:dyDescent="0.2">
      <c r="A613" s="5"/>
      <c r="C613" s="6"/>
      <c r="D613" s="6"/>
    </row>
    <row r="614" spans="1:4" x14ac:dyDescent="0.2">
      <c r="A614" s="5"/>
      <c r="C614" s="6"/>
      <c r="D614" s="6"/>
    </row>
    <row r="615" spans="1:4" x14ac:dyDescent="0.2">
      <c r="A615" s="5"/>
      <c r="C615" s="6"/>
      <c r="D615" s="6"/>
    </row>
    <row r="616" spans="1:4" x14ac:dyDescent="0.2">
      <c r="A616" s="5"/>
      <c r="C616" s="6"/>
      <c r="D616" s="6"/>
    </row>
    <row r="617" spans="1:4" x14ac:dyDescent="0.2">
      <c r="A617" s="5"/>
      <c r="C617" s="6"/>
      <c r="D617" s="6"/>
    </row>
    <row r="618" spans="1:4" x14ac:dyDescent="0.2">
      <c r="A618" s="5"/>
      <c r="C618" s="6"/>
      <c r="D618" s="6"/>
    </row>
    <row r="619" spans="1:4" x14ac:dyDescent="0.2">
      <c r="A619" s="5"/>
      <c r="C619" s="6"/>
      <c r="D619" s="6"/>
    </row>
    <row r="620" spans="1:4" x14ac:dyDescent="0.2">
      <c r="A620" s="5"/>
      <c r="C620" s="6"/>
      <c r="D620" s="6"/>
    </row>
    <row r="621" spans="1:4" x14ac:dyDescent="0.2">
      <c r="A621" s="5"/>
      <c r="C621" s="6"/>
      <c r="D621" s="6"/>
    </row>
    <row r="622" spans="1:4" x14ac:dyDescent="0.2">
      <c r="A622" s="5"/>
      <c r="C622" s="6"/>
      <c r="D622" s="6"/>
    </row>
    <row r="623" spans="1:4" x14ac:dyDescent="0.2">
      <c r="A623" s="5"/>
      <c r="C623" s="6"/>
      <c r="D623" s="6"/>
    </row>
    <row r="624" spans="1:4" x14ac:dyDescent="0.2">
      <c r="A624" s="5"/>
      <c r="C624" s="6"/>
      <c r="D624" s="6"/>
    </row>
    <row r="625" spans="1:4" x14ac:dyDescent="0.2">
      <c r="A625" s="5"/>
      <c r="C625" s="6"/>
      <c r="D625" s="6"/>
    </row>
    <row r="626" spans="1:4" x14ac:dyDescent="0.2">
      <c r="A626" s="5"/>
      <c r="C626" s="6"/>
      <c r="D626" s="6"/>
    </row>
    <row r="627" spans="1:4" x14ac:dyDescent="0.2">
      <c r="A627" s="5"/>
      <c r="C627" s="6"/>
      <c r="D627" s="6"/>
    </row>
    <row r="628" spans="1:4" x14ac:dyDescent="0.2">
      <c r="A628" s="5"/>
      <c r="C628" s="6"/>
      <c r="D628" s="6"/>
    </row>
    <row r="629" spans="1:4" x14ac:dyDescent="0.2">
      <c r="A629" s="5"/>
      <c r="C629" s="6"/>
      <c r="D629" s="6"/>
    </row>
    <row r="630" spans="1:4" x14ac:dyDescent="0.2">
      <c r="A630" s="5"/>
      <c r="C630" s="6"/>
      <c r="D630" s="6"/>
    </row>
    <row r="631" spans="1:4" x14ac:dyDescent="0.2">
      <c r="A631" s="5"/>
      <c r="C631" s="6"/>
      <c r="D631" s="6"/>
    </row>
    <row r="632" spans="1:4" x14ac:dyDescent="0.2">
      <c r="A632" s="5"/>
      <c r="C632" s="6"/>
      <c r="D632" s="6"/>
    </row>
    <row r="633" spans="1:4" x14ac:dyDescent="0.2">
      <c r="A633" s="5"/>
      <c r="C633" s="6"/>
      <c r="D633" s="6"/>
    </row>
    <row r="634" spans="1:4" x14ac:dyDescent="0.2">
      <c r="A634" s="5"/>
      <c r="C634" s="6"/>
      <c r="D634" s="6"/>
    </row>
    <row r="635" spans="1:4" x14ac:dyDescent="0.2">
      <c r="A635" s="5"/>
      <c r="C635" s="6"/>
      <c r="D635" s="6"/>
    </row>
    <row r="636" spans="1:4" x14ac:dyDescent="0.2">
      <c r="A636" s="5"/>
      <c r="C636" s="6"/>
      <c r="D636" s="6"/>
    </row>
    <row r="637" spans="1:4" x14ac:dyDescent="0.2">
      <c r="A637" s="5"/>
      <c r="C637" s="6"/>
      <c r="D637" s="6"/>
    </row>
    <row r="638" spans="1:4" x14ac:dyDescent="0.2">
      <c r="A638" s="5"/>
      <c r="C638" s="6"/>
      <c r="D638" s="6"/>
    </row>
    <row r="639" spans="1:4" x14ac:dyDescent="0.2">
      <c r="A639" s="5"/>
      <c r="C639" s="6"/>
      <c r="D639" s="6"/>
    </row>
    <row r="640" spans="1:4" x14ac:dyDescent="0.2">
      <c r="A640" s="5"/>
      <c r="C640" s="6"/>
      <c r="D640" s="6"/>
    </row>
    <row r="641" spans="1:4" x14ac:dyDescent="0.2">
      <c r="A641" s="5"/>
      <c r="C641" s="6"/>
      <c r="D641" s="6"/>
    </row>
    <row r="642" spans="1:4" x14ac:dyDescent="0.2">
      <c r="A642" s="5"/>
      <c r="C642" s="6"/>
      <c r="D642" s="6"/>
    </row>
    <row r="643" spans="1:4" x14ac:dyDescent="0.2">
      <c r="A643" s="5"/>
      <c r="C643" s="6"/>
      <c r="D643" s="6"/>
    </row>
    <row r="644" spans="1:4" x14ac:dyDescent="0.2">
      <c r="A644" s="5"/>
      <c r="C644" s="6"/>
      <c r="D644" s="6"/>
    </row>
    <row r="645" spans="1:4" x14ac:dyDescent="0.2">
      <c r="A645" s="5"/>
      <c r="C645" s="6"/>
      <c r="D645" s="6"/>
    </row>
    <row r="646" spans="1:4" x14ac:dyDescent="0.2">
      <c r="A646" s="5"/>
      <c r="C646" s="6"/>
      <c r="D646" s="6"/>
    </row>
    <row r="647" spans="1:4" x14ac:dyDescent="0.2">
      <c r="A647" s="5"/>
      <c r="C647" s="6"/>
      <c r="D647" s="6"/>
    </row>
    <row r="648" spans="1:4" x14ac:dyDescent="0.2">
      <c r="A648" s="5"/>
      <c r="C648" s="6"/>
      <c r="D648" s="6"/>
    </row>
    <row r="649" spans="1:4" x14ac:dyDescent="0.2">
      <c r="A649" s="5"/>
      <c r="C649" s="6"/>
      <c r="D649" s="6"/>
    </row>
    <row r="650" spans="1:4" x14ac:dyDescent="0.2">
      <c r="A650" s="5"/>
      <c r="C650" s="6"/>
      <c r="D650" s="6"/>
    </row>
    <row r="651" spans="1:4" x14ac:dyDescent="0.2">
      <c r="A651" s="5"/>
      <c r="C651" s="6"/>
      <c r="D651" s="6"/>
    </row>
    <row r="652" spans="1:4" x14ac:dyDescent="0.2">
      <c r="A652" s="5"/>
      <c r="C652" s="6"/>
      <c r="D652" s="6"/>
    </row>
    <row r="653" spans="1:4" x14ac:dyDescent="0.2">
      <c r="A653" s="5"/>
      <c r="C653" s="6"/>
      <c r="D653" s="6"/>
    </row>
    <row r="654" spans="1:4" x14ac:dyDescent="0.2">
      <c r="A654" s="5"/>
      <c r="C654" s="6"/>
      <c r="D654" s="6"/>
    </row>
    <row r="655" spans="1:4" x14ac:dyDescent="0.2">
      <c r="A655" s="5"/>
      <c r="C655" s="6"/>
      <c r="D655" s="6"/>
    </row>
    <row r="656" spans="1:4" x14ac:dyDescent="0.2">
      <c r="A656" s="5"/>
      <c r="C656" s="6"/>
      <c r="D656" s="6"/>
    </row>
    <row r="657" spans="1:4" x14ac:dyDescent="0.2">
      <c r="A657" s="5"/>
      <c r="C657" s="6"/>
      <c r="D657" s="6"/>
    </row>
    <row r="658" spans="1:4" x14ac:dyDescent="0.2">
      <c r="A658" s="5"/>
      <c r="C658" s="6"/>
      <c r="D658" s="6"/>
    </row>
    <row r="659" spans="1:4" x14ac:dyDescent="0.2">
      <c r="A659" s="5"/>
      <c r="C659" s="6"/>
      <c r="D659" s="6"/>
    </row>
    <row r="660" spans="1:4" x14ac:dyDescent="0.2">
      <c r="A660" s="5"/>
      <c r="C660" s="6"/>
      <c r="D660" s="6"/>
    </row>
    <row r="661" spans="1:4" x14ac:dyDescent="0.2">
      <c r="A661" s="5"/>
      <c r="C661" s="6"/>
      <c r="D661" s="6"/>
    </row>
    <row r="662" spans="1:4" x14ac:dyDescent="0.2">
      <c r="A662" s="5"/>
      <c r="C662" s="6"/>
      <c r="D662" s="6"/>
    </row>
    <row r="663" spans="1:4" x14ac:dyDescent="0.2">
      <c r="A663" s="5"/>
      <c r="C663" s="6"/>
      <c r="D663" s="6"/>
    </row>
    <row r="664" spans="1:4" x14ac:dyDescent="0.2">
      <c r="A664" s="5"/>
      <c r="C664" s="6"/>
      <c r="D664" s="6"/>
    </row>
    <row r="665" spans="1:4" x14ac:dyDescent="0.2">
      <c r="A665" s="5"/>
      <c r="C665" s="6"/>
      <c r="D665" s="6"/>
    </row>
    <row r="666" spans="1:4" x14ac:dyDescent="0.2">
      <c r="A666" s="5"/>
      <c r="C666" s="6"/>
      <c r="D666" s="6"/>
    </row>
    <row r="667" spans="1:4" x14ac:dyDescent="0.2">
      <c r="A667" s="5"/>
      <c r="C667" s="6"/>
      <c r="D667" s="6"/>
    </row>
    <row r="668" spans="1:4" x14ac:dyDescent="0.2">
      <c r="A668" s="5"/>
      <c r="C668" s="6"/>
      <c r="D668" s="6"/>
    </row>
    <row r="669" spans="1:4" x14ac:dyDescent="0.2">
      <c r="A669" s="5"/>
      <c r="C669" s="6"/>
      <c r="D669" s="6"/>
    </row>
    <row r="670" spans="1:4" x14ac:dyDescent="0.2">
      <c r="A670" s="5"/>
      <c r="C670" s="6"/>
      <c r="D670" s="6"/>
    </row>
    <row r="671" spans="1:4" x14ac:dyDescent="0.2">
      <c r="A671" s="5"/>
      <c r="C671" s="6"/>
      <c r="D671" s="6"/>
    </row>
    <row r="672" spans="1:4" x14ac:dyDescent="0.2">
      <c r="A672" s="5"/>
      <c r="C672" s="6"/>
      <c r="D672" s="6"/>
    </row>
    <row r="673" spans="1:4" x14ac:dyDescent="0.2">
      <c r="A673" s="5"/>
      <c r="C673" s="6"/>
      <c r="D673" s="6"/>
    </row>
    <row r="674" spans="1:4" x14ac:dyDescent="0.2">
      <c r="A674" s="5"/>
      <c r="C674" s="6"/>
      <c r="D674" s="6"/>
    </row>
    <row r="675" spans="1:4" x14ac:dyDescent="0.2">
      <c r="A675" s="5"/>
      <c r="C675" s="6"/>
      <c r="D675" s="6"/>
    </row>
    <row r="676" spans="1:4" x14ac:dyDescent="0.2">
      <c r="A676" s="5"/>
      <c r="C676" s="6"/>
      <c r="D676" s="6"/>
    </row>
    <row r="677" spans="1:4" x14ac:dyDescent="0.2">
      <c r="A677" s="5"/>
      <c r="C677" s="6"/>
      <c r="D677" s="6"/>
    </row>
    <row r="678" spans="1:4" x14ac:dyDescent="0.2">
      <c r="A678" s="5"/>
      <c r="C678" s="6"/>
      <c r="D678" s="6"/>
    </row>
    <row r="679" spans="1:4" x14ac:dyDescent="0.2">
      <c r="A679" s="5"/>
      <c r="C679" s="6"/>
      <c r="D679" s="6"/>
    </row>
    <row r="680" spans="1:4" x14ac:dyDescent="0.2">
      <c r="A680" s="5"/>
      <c r="C680" s="6"/>
      <c r="D680" s="6"/>
    </row>
    <row r="681" spans="1:4" x14ac:dyDescent="0.2">
      <c r="A681" s="5"/>
      <c r="C681" s="6"/>
      <c r="D681" s="6"/>
    </row>
    <row r="682" spans="1:4" x14ac:dyDescent="0.2">
      <c r="A682" s="5"/>
      <c r="C682" s="6"/>
      <c r="D682" s="6"/>
    </row>
    <row r="683" spans="1:4" x14ac:dyDescent="0.2">
      <c r="A683" s="5"/>
      <c r="C683" s="6"/>
      <c r="D683" s="6"/>
    </row>
    <row r="684" spans="1:4" x14ac:dyDescent="0.2">
      <c r="A684" s="5"/>
      <c r="C684" s="6"/>
      <c r="D684" s="6"/>
    </row>
    <row r="685" spans="1:4" x14ac:dyDescent="0.2">
      <c r="A685" s="5"/>
      <c r="C685" s="6"/>
      <c r="D685" s="6"/>
    </row>
    <row r="686" spans="1:4" x14ac:dyDescent="0.2">
      <c r="A686" s="5"/>
      <c r="C686" s="6"/>
      <c r="D686" s="6"/>
    </row>
    <row r="687" spans="1:4" x14ac:dyDescent="0.2">
      <c r="A687" s="5"/>
      <c r="C687" s="6"/>
      <c r="D687" s="6"/>
    </row>
    <row r="688" spans="1:4" x14ac:dyDescent="0.2">
      <c r="A688" s="5"/>
      <c r="C688" s="6"/>
      <c r="D688" s="6"/>
    </row>
    <row r="689" spans="1:4" x14ac:dyDescent="0.2">
      <c r="A689" s="5"/>
      <c r="C689" s="6"/>
      <c r="D689" s="6"/>
    </row>
    <row r="690" spans="1:4" x14ac:dyDescent="0.2">
      <c r="A690" s="5"/>
      <c r="C690" s="6"/>
      <c r="D690" s="6"/>
    </row>
    <row r="691" spans="1:4" x14ac:dyDescent="0.2">
      <c r="A691" s="5"/>
      <c r="C691" s="6"/>
      <c r="D691" s="6"/>
    </row>
    <row r="692" spans="1:4" x14ac:dyDescent="0.2">
      <c r="A692" s="5"/>
      <c r="C692" s="6"/>
      <c r="D692" s="6"/>
    </row>
    <row r="693" spans="1:4" x14ac:dyDescent="0.2">
      <c r="A693" s="5"/>
      <c r="C693" s="6"/>
      <c r="D693" s="6"/>
    </row>
    <row r="694" spans="1:4" x14ac:dyDescent="0.2">
      <c r="A694" s="5"/>
      <c r="C694" s="6"/>
      <c r="D694" s="6"/>
    </row>
    <row r="695" spans="1:4" x14ac:dyDescent="0.2">
      <c r="A695" s="5"/>
      <c r="C695" s="6"/>
      <c r="D695" s="6"/>
    </row>
    <row r="696" spans="1:4" x14ac:dyDescent="0.2">
      <c r="A696" s="5"/>
      <c r="C696" s="6"/>
      <c r="D696" s="6"/>
    </row>
    <row r="697" spans="1:4" x14ac:dyDescent="0.2">
      <c r="A697" s="5"/>
      <c r="C697" s="6"/>
      <c r="D697" s="6"/>
    </row>
    <row r="698" spans="1:4" x14ac:dyDescent="0.2">
      <c r="A698" s="5"/>
      <c r="C698" s="6"/>
      <c r="D698" s="6"/>
    </row>
    <row r="699" spans="1:4" x14ac:dyDescent="0.2">
      <c r="A699" s="5"/>
      <c r="C699" s="6"/>
      <c r="D699" s="6"/>
    </row>
    <row r="700" spans="1:4" x14ac:dyDescent="0.2">
      <c r="A700" s="5"/>
      <c r="C700" s="6"/>
      <c r="D700" s="6"/>
    </row>
    <row r="701" spans="1:4" x14ac:dyDescent="0.2">
      <c r="A701" s="5"/>
      <c r="C701" s="6"/>
      <c r="D701" s="6"/>
    </row>
    <row r="702" spans="1:4" x14ac:dyDescent="0.2">
      <c r="A702" s="5"/>
      <c r="C702" s="6"/>
      <c r="D702" s="6"/>
    </row>
    <row r="703" spans="1:4" x14ac:dyDescent="0.2">
      <c r="A703" s="5"/>
      <c r="C703" s="6"/>
      <c r="D703" s="6"/>
    </row>
    <row r="704" spans="1:4" x14ac:dyDescent="0.2">
      <c r="A704" s="5"/>
      <c r="C704" s="6"/>
      <c r="D704" s="6"/>
    </row>
    <row r="705" spans="1:4" x14ac:dyDescent="0.2">
      <c r="A705" s="5"/>
      <c r="C705" s="6"/>
      <c r="D705" s="6"/>
    </row>
    <row r="706" spans="1:4" x14ac:dyDescent="0.2">
      <c r="A706" s="5"/>
      <c r="C706" s="6"/>
      <c r="D706" s="6"/>
    </row>
    <row r="707" spans="1:4" x14ac:dyDescent="0.2">
      <c r="A707" s="5"/>
      <c r="C707" s="6"/>
      <c r="D707" s="6"/>
    </row>
    <row r="708" spans="1:4" x14ac:dyDescent="0.2">
      <c r="A708" s="5"/>
      <c r="C708" s="6"/>
      <c r="D708" s="6"/>
    </row>
    <row r="709" spans="1:4" x14ac:dyDescent="0.2">
      <c r="A709" s="5"/>
      <c r="C709" s="6"/>
      <c r="D709" s="6"/>
    </row>
    <row r="710" spans="1:4" x14ac:dyDescent="0.2">
      <c r="A710" s="5"/>
      <c r="C710" s="6"/>
      <c r="D710" s="6"/>
    </row>
    <row r="711" spans="1:4" x14ac:dyDescent="0.2">
      <c r="A711" s="5"/>
      <c r="C711" s="6"/>
      <c r="D711" s="6"/>
    </row>
    <row r="712" spans="1:4" x14ac:dyDescent="0.2">
      <c r="A712" s="5"/>
      <c r="C712" s="6"/>
      <c r="D712" s="6"/>
    </row>
    <row r="713" spans="1:4" x14ac:dyDescent="0.2">
      <c r="A713" s="5"/>
      <c r="C713" s="6"/>
      <c r="D713" s="6"/>
    </row>
    <row r="714" spans="1:4" x14ac:dyDescent="0.2">
      <c r="A714" s="5"/>
      <c r="C714" s="6"/>
      <c r="D714" s="6"/>
    </row>
    <row r="715" spans="1:4" x14ac:dyDescent="0.2">
      <c r="A715" s="5"/>
      <c r="C715" s="6"/>
      <c r="D715" s="6"/>
    </row>
    <row r="716" spans="1:4" x14ac:dyDescent="0.2">
      <c r="A716" s="5"/>
      <c r="C716" s="6"/>
      <c r="D716" s="6"/>
    </row>
    <row r="717" spans="1:4" x14ac:dyDescent="0.2">
      <c r="A717" s="5"/>
      <c r="C717" s="6"/>
      <c r="D717" s="6"/>
    </row>
    <row r="718" spans="1:4" x14ac:dyDescent="0.2">
      <c r="A718" s="5"/>
      <c r="C718" s="6"/>
      <c r="D718" s="6"/>
    </row>
    <row r="719" spans="1:4" x14ac:dyDescent="0.2">
      <c r="A719" s="5"/>
      <c r="C719" s="6"/>
      <c r="D719" s="6"/>
    </row>
    <row r="720" spans="1:4" x14ac:dyDescent="0.2">
      <c r="A720" s="5"/>
      <c r="C720" s="6"/>
      <c r="D720" s="6"/>
    </row>
    <row r="721" spans="1:4" x14ac:dyDescent="0.2">
      <c r="A721" s="5"/>
      <c r="C721" s="6"/>
      <c r="D721" s="6"/>
    </row>
    <row r="722" spans="1:4" x14ac:dyDescent="0.2">
      <c r="A722" s="5"/>
      <c r="C722" s="6"/>
      <c r="D722" s="6"/>
    </row>
    <row r="723" spans="1:4" x14ac:dyDescent="0.2">
      <c r="A723" s="5"/>
      <c r="C723" s="6"/>
      <c r="D723" s="6"/>
    </row>
    <row r="724" spans="1:4" x14ac:dyDescent="0.2">
      <c r="A724" s="5"/>
      <c r="C724" s="6"/>
      <c r="D724" s="6"/>
    </row>
    <row r="725" spans="1:4" x14ac:dyDescent="0.2">
      <c r="A725" s="5"/>
      <c r="C725" s="6"/>
      <c r="D725" s="6"/>
    </row>
    <row r="726" spans="1:4" x14ac:dyDescent="0.2">
      <c r="A726" s="5"/>
      <c r="C726" s="6"/>
      <c r="D726" s="6"/>
    </row>
    <row r="727" spans="1:4" x14ac:dyDescent="0.2">
      <c r="A727" s="5"/>
      <c r="C727" s="6"/>
      <c r="D727" s="6"/>
    </row>
    <row r="728" spans="1:4" x14ac:dyDescent="0.2">
      <c r="A728" s="5"/>
      <c r="C728" s="6"/>
      <c r="D728" s="6"/>
    </row>
    <row r="729" spans="1:4" x14ac:dyDescent="0.2">
      <c r="A729" s="5"/>
      <c r="C729" s="6"/>
      <c r="D729" s="6"/>
    </row>
    <row r="730" spans="1:4" x14ac:dyDescent="0.2">
      <c r="A730" s="5"/>
      <c r="C730" s="6"/>
      <c r="D730" s="6"/>
    </row>
    <row r="731" spans="1:4" x14ac:dyDescent="0.2">
      <c r="A731" s="5"/>
      <c r="C731" s="6"/>
      <c r="D731" s="6"/>
    </row>
    <row r="732" spans="1:4" x14ac:dyDescent="0.2">
      <c r="A732" s="5"/>
      <c r="C732" s="6"/>
      <c r="D732" s="6"/>
    </row>
    <row r="733" spans="1:4" x14ac:dyDescent="0.2">
      <c r="A733" s="5"/>
      <c r="C733" s="6"/>
      <c r="D733" s="6"/>
    </row>
    <row r="734" spans="1:4" x14ac:dyDescent="0.2">
      <c r="A734" s="5"/>
      <c r="C734" s="6"/>
      <c r="D734" s="6"/>
    </row>
    <row r="735" spans="1:4" x14ac:dyDescent="0.2">
      <c r="A735" s="5"/>
      <c r="C735" s="6"/>
      <c r="D735" s="6"/>
    </row>
    <row r="736" spans="1:4" x14ac:dyDescent="0.2">
      <c r="A736" s="5"/>
      <c r="C736" s="6"/>
      <c r="D736" s="6"/>
    </row>
    <row r="737" spans="1:4" x14ac:dyDescent="0.2">
      <c r="A737" s="5"/>
      <c r="C737" s="6"/>
      <c r="D737" s="6"/>
    </row>
    <row r="738" spans="1:4" x14ac:dyDescent="0.2">
      <c r="A738" s="5"/>
      <c r="C738" s="6"/>
      <c r="D738" s="6"/>
    </row>
    <row r="739" spans="1:4" x14ac:dyDescent="0.2">
      <c r="A739" s="5"/>
      <c r="C739" s="6"/>
      <c r="D739" s="6"/>
    </row>
    <row r="740" spans="1:4" x14ac:dyDescent="0.2">
      <c r="A740" s="5"/>
      <c r="C740" s="6"/>
      <c r="D740" s="6"/>
    </row>
    <row r="741" spans="1:4" x14ac:dyDescent="0.2">
      <c r="A741" s="5"/>
      <c r="C741" s="6"/>
      <c r="D741" s="6"/>
    </row>
    <row r="742" spans="1:4" x14ac:dyDescent="0.2">
      <c r="A742" s="5"/>
      <c r="C742" s="6"/>
      <c r="D742" s="6"/>
    </row>
    <row r="743" spans="1:4" x14ac:dyDescent="0.2">
      <c r="A743" s="5"/>
      <c r="C743" s="6"/>
      <c r="D743" s="6"/>
    </row>
    <row r="744" spans="1:4" x14ac:dyDescent="0.2">
      <c r="A744" s="5"/>
      <c r="C744" s="6"/>
      <c r="D744" s="6"/>
    </row>
    <row r="745" spans="1:4" x14ac:dyDescent="0.2">
      <c r="A745" s="5"/>
      <c r="C745" s="6"/>
      <c r="D745" s="6"/>
    </row>
    <row r="746" spans="1:4" x14ac:dyDescent="0.2">
      <c r="A746" s="5"/>
      <c r="C746" s="6"/>
      <c r="D746" s="6"/>
    </row>
    <row r="747" spans="1:4" x14ac:dyDescent="0.2">
      <c r="A747" s="5"/>
      <c r="C747" s="6"/>
      <c r="D747" s="6"/>
    </row>
    <row r="748" spans="1:4" x14ac:dyDescent="0.2">
      <c r="A748" s="5"/>
      <c r="C748" s="6"/>
      <c r="D748" s="6"/>
    </row>
    <row r="749" spans="1:4" x14ac:dyDescent="0.2">
      <c r="A749" s="5"/>
      <c r="C749" s="6"/>
      <c r="D749" s="6"/>
    </row>
    <row r="750" spans="1:4" x14ac:dyDescent="0.2">
      <c r="A750" s="5"/>
      <c r="C750" s="6"/>
      <c r="D750" s="6"/>
    </row>
    <row r="751" spans="1:4" x14ac:dyDescent="0.2">
      <c r="A751" s="5"/>
      <c r="C751" s="6"/>
      <c r="D751" s="6"/>
    </row>
    <row r="752" spans="1:4" x14ac:dyDescent="0.2">
      <c r="A752" s="5"/>
      <c r="C752" s="6"/>
      <c r="D752" s="6"/>
    </row>
    <row r="753" spans="1:4" x14ac:dyDescent="0.2">
      <c r="A753" s="5"/>
      <c r="C753" s="6"/>
      <c r="D753" s="6"/>
    </row>
    <row r="754" spans="1:4" x14ac:dyDescent="0.2">
      <c r="A754" s="5"/>
      <c r="C754" s="6"/>
      <c r="D754" s="6"/>
    </row>
    <row r="755" spans="1:4" x14ac:dyDescent="0.2">
      <c r="A755" s="5"/>
      <c r="C755" s="6"/>
      <c r="D755" s="6"/>
    </row>
    <row r="756" spans="1:4" x14ac:dyDescent="0.2">
      <c r="A756" s="5"/>
      <c r="C756" s="6"/>
      <c r="D756" s="6"/>
    </row>
    <row r="757" spans="1:4" x14ac:dyDescent="0.2">
      <c r="A757" s="5"/>
      <c r="C757" s="6"/>
      <c r="D757" s="6"/>
    </row>
    <row r="758" spans="1:4" x14ac:dyDescent="0.2">
      <c r="A758" s="5"/>
      <c r="C758" s="6"/>
      <c r="D758" s="6"/>
    </row>
    <row r="759" spans="1:4" x14ac:dyDescent="0.2">
      <c r="A759" s="5"/>
      <c r="C759" s="6"/>
      <c r="D759" s="6"/>
    </row>
    <row r="760" spans="1:4" x14ac:dyDescent="0.2">
      <c r="A760" s="5"/>
      <c r="C760" s="6"/>
      <c r="D760" s="6"/>
    </row>
    <row r="761" spans="1:4" x14ac:dyDescent="0.2">
      <c r="A761" s="5"/>
      <c r="C761" s="6"/>
      <c r="D761" s="6"/>
    </row>
    <row r="762" spans="1:4" x14ac:dyDescent="0.2">
      <c r="A762" s="5"/>
      <c r="C762" s="6"/>
      <c r="D762" s="6"/>
    </row>
    <row r="763" spans="1:4" x14ac:dyDescent="0.2">
      <c r="A763" s="5"/>
      <c r="C763" s="6"/>
      <c r="D763" s="6"/>
    </row>
    <row r="764" spans="1:4" x14ac:dyDescent="0.2">
      <c r="A764" s="5"/>
      <c r="C764" s="6"/>
      <c r="D764" s="6"/>
    </row>
    <row r="765" spans="1:4" x14ac:dyDescent="0.2">
      <c r="A765" s="5"/>
      <c r="C765" s="6"/>
      <c r="D765" s="6"/>
    </row>
    <row r="766" spans="1:4" x14ac:dyDescent="0.2">
      <c r="A766" s="5"/>
      <c r="C766" s="6"/>
      <c r="D766" s="6"/>
    </row>
    <row r="767" spans="1:4" x14ac:dyDescent="0.2">
      <c r="A767" s="5"/>
      <c r="C767" s="6"/>
      <c r="D767" s="6"/>
    </row>
    <row r="768" spans="1:4" x14ac:dyDescent="0.2">
      <c r="A768" s="5"/>
      <c r="C768" s="6"/>
      <c r="D768" s="6"/>
    </row>
    <row r="769" spans="1:4" x14ac:dyDescent="0.2">
      <c r="A769" s="5"/>
      <c r="C769" s="6"/>
      <c r="D769" s="6"/>
    </row>
    <row r="770" spans="1:4" x14ac:dyDescent="0.2">
      <c r="A770" s="5"/>
      <c r="C770" s="6"/>
      <c r="D770" s="6"/>
    </row>
    <row r="771" spans="1:4" x14ac:dyDescent="0.2">
      <c r="A771" s="5"/>
      <c r="C771" s="6"/>
      <c r="D771" s="6"/>
    </row>
    <row r="772" spans="1:4" x14ac:dyDescent="0.2">
      <c r="A772" s="5"/>
      <c r="C772" s="6"/>
      <c r="D772" s="6"/>
    </row>
    <row r="773" spans="1:4" x14ac:dyDescent="0.2">
      <c r="A773" s="5"/>
      <c r="C773" s="6"/>
      <c r="D773" s="6"/>
    </row>
    <row r="774" spans="1:4" x14ac:dyDescent="0.2">
      <c r="A774" s="5"/>
      <c r="C774" s="6"/>
      <c r="D774" s="6"/>
    </row>
    <row r="775" spans="1:4" x14ac:dyDescent="0.2">
      <c r="A775" s="5"/>
      <c r="C775" s="6"/>
      <c r="D775" s="6"/>
    </row>
    <row r="776" spans="1:4" x14ac:dyDescent="0.2">
      <c r="A776" s="5"/>
      <c r="C776" s="6"/>
      <c r="D776" s="6"/>
    </row>
    <row r="777" spans="1:4" x14ac:dyDescent="0.2">
      <c r="A777" s="5"/>
      <c r="C777" s="6"/>
      <c r="D777" s="6"/>
    </row>
    <row r="778" spans="1:4" x14ac:dyDescent="0.2">
      <c r="A778" s="5"/>
      <c r="C778" s="6"/>
      <c r="D778" s="6"/>
    </row>
    <row r="779" spans="1:4" x14ac:dyDescent="0.2">
      <c r="A779" s="5"/>
      <c r="C779" s="6"/>
      <c r="D779" s="6"/>
    </row>
    <row r="780" spans="1:4" x14ac:dyDescent="0.2">
      <c r="A780" s="5"/>
      <c r="C780" s="6"/>
      <c r="D780" s="6"/>
    </row>
    <row r="781" spans="1:4" x14ac:dyDescent="0.2">
      <c r="A781" s="5"/>
      <c r="C781" s="6"/>
      <c r="D781" s="6"/>
    </row>
    <row r="782" spans="1:4" x14ac:dyDescent="0.2">
      <c r="A782" s="5"/>
      <c r="C782" s="6"/>
      <c r="D782" s="6"/>
    </row>
    <row r="783" spans="1:4" x14ac:dyDescent="0.2">
      <c r="A783" s="5"/>
      <c r="C783" s="6"/>
      <c r="D783" s="6"/>
    </row>
    <row r="784" spans="1:4" x14ac:dyDescent="0.2">
      <c r="A784" s="5"/>
      <c r="C784" s="6"/>
      <c r="D784" s="6"/>
    </row>
    <row r="785" spans="1:4" x14ac:dyDescent="0.2">
      <c r="A785" s="5"/>
      <c r="C785" s="6"/>
      <c r="D785" s="6"/>
    </row>
    <row r="786" spans="1:4" x14ac:dyDescent="0.2">
      <c r="A786" s="5"/>
      <c r="C786" s="6"/>
      <c r="D786" s="6"/>
    </row>
    <row r="787" spans="1:4" x14ac:dyDescent="0.2">
      <c r="A787" s="5"/>
      <c r="C787" s="6"/>
      <c r="D787" s="6"/>
    </row>
    <row r="788" spans="1:4" x14ac:dyDescent="0.2">
      <c r="A788" s="5"/>
      <c r="C788" s="6"/>
      <c r="D788" s="6"/>
    </row>
    <row r="789" spans="1:4" x14ac:dyDescent="0.2">
      <c r="A789" s="5"/>
      <c r="C789" s="6"/>
      <c r="D789" s="6"/>
    </row>
    <row r="790" spans="1:4" x14ac:dyDescent="0.2">
      <c r="A790" s="5"/>
      <c r="C790" s="6"/>
      <c r="D790" s="6"/>
    </row>
    <row r="791" spans="1:4" x14ac:dyDescent="0.2">
      <c r="A791" s="5"/>
      <c r="C791" s="6"/>
      <c r="D791" s="6"/>
    </row>
    <row r="792" spans="1:4" x14ac:dyDescent="0.2">
      <c r="A792" s="5"/>
      <c r="C792" s="6"/>
      <c r="D792" s="6"/>
    </row>
    <row r="793" spans="1:4" x14ac:dyDescent="0.2">
      <c r="A793" s="5"/>
      <c r="C793" s="6"/>
      <c r="D793" s="6"/>
    </row>
    <row r="794" spans="1:4" x14ac:dyDescent="0.2">
      <c r="A794" s="5"/>
      <c r="C794" s="6"/>
      <c r="D794" s="6"/>
    </row>
    <row r="795" spans="1:4" x14ac:dyDescent="0.2">
      <c r="A795" s="5"/>
      <c r="C795" s="6"/>
      <c r="D795" s="6"/>
    </row>
    <row r="796" spans="1:4" x14ac:dyDescent="0.2">
      <c r="A796" s="5"/>
      <c r="C796" s="6"/>
      <c r="D796" s="6"/>
    </row>
    <row r="797" spans="1:4" x14ac:dyDescent="0.2">
      <c r="A797" s="5"/>
      <c r="C797" s="6"/>
      <c r="D797" s="6"/>
    </row>
    <row r="798" spans="1:4" x14ac:dyDescent="0.2">
      <c r="A798" s="5"/>
      <c r="C798" s="6"/>
      <c r="D798" s="6"/>
    </row>
    <row r="799" spans="1:4" x14ac:dyDescent="0.2">
      <c r="A799" s="5"/>
      <c r="C799" s="6"/>
      <c r="D799" s="6"/>
    </row>
    <row r="800" spans="1:4" x14ac:dyDescent="0.2">
      <c r="A800" s="5"/>
      <c r="C800" s="6"/>
      <c r="D800" s="6"/>
    </row>
    <row r="801" spans="1:4" x14ac:dyDescent="0.2">
      <c r="A801" s="5"/>
      <c r="C801" s="6"/>
      <c r="D801" s="6"/>
    </row>
    <row r="802" spans="1:4" x14ac:dyDescent="0.2">
      <c r="A802" s="5"/>
      <c r="C802" s="6"/>
      <c r="D802" s="6"/>
    </row>
    <row r="803" spans="1:4" x14ac:dyDescent="0.2">
      <c r="A803" s="5"/>
      <c r="C803" s="6"/>
      <c r="D803" s="6"/>
    </row>
    <row r="804" spans="1:4" x14ac:dyDescent="0.2">
      <c r="A804" s="5"/>
      <c r="C804" s="6"/>
      <c r="D804" s="6"/>
    </row>
    <row r="805" spans="1:4" x14ac:dyDescent="0.2">
      <c r="A805" s="5"/>
      <c r="C805" s="6"/>
      <c r="D805" s="6"/>
    </row>
    <row r="806" spans="1:4" x14ac:dyDescent="0.2">
      <c r="A806" s="5"/>
      <c r="C806" s="6"/>
      <c r="D806" s="6"/>
    </row>
    <row r="807" spans="1:4" x14ac:dyDescent="0.2">
      <c r="A807" s="5"/>
      <c r="C807" s="6"/>
      <c r="D807" s="6"/>
    </row>
    <row r="808" spans="1:4" x14ac:dyDescent="0.2">
      <c r="A808" s="5"/>
      <c r="C808" s="6"/>
      <c r="D808" s="6"/>
    </row>
    <row r="809" spans="1:4" x14ac:dyDescent="0.2">
      <c r="A809" s="5"/>
      <c r="C809" s="6"/>
      <c r="D809" s="6"/>
    </row>
    <row r="810" spans="1:4" x14ac:dyDescent="0.2">
      <c r="A810" s="5"/>
      <c r="C810" s="6"/>
      <c r="D810" s="6"/>
    </row>
    <row r="811" spans="1:4" x14ac:dyDescent="0.2">
      <c r="A811" s="5"/>
      <c r="C811" s="6"/>
      <c r="D811" s="6"/>
    </row>
    <row r="812" spans="1:4" x14ac:dyDescent="0.2">
      <c r="A812" s="5"/>
      <c r="C812" s="6"/>
      <c r="D812" s="6"/>
    </row>
    <row r="813" spans="1:4" x14ac:dyDescent="0.2">
      <c r="A813" s="5"/>
      <c r="C813" s="6"/>
      <c r="D813" s="6"/>
    </row>
    <row r="814" spans="1:4" x14ac:dyDescent="0.2">
      <c r="A814" s="5"/>
      <c r="C814" s="6"/>
      <c r="D814" s="6"/>
    </row>
    <row r="815" spans="1:4" x14ac:dyDescent="0.2">
      <c r="A815" s="5"/>
      <c r="C815" s="6"/>
      <c r="D815" s="6"/>
    </row>
    <row r="816" spans="1:4" x14ac:dyDescent="0.2">
      <c r="A816" s="5"/>
      <c r="C816" s="6"/>
      <c r="D816" s="6"/>
    </row>
    <row r="817" spans="1:4" x14ac:dyDescent="0.2">
      <c r="A817" s="5"/>
      <c r="C817" s="6"/>
      <c r="D817" s="6"/>
    </row>
    <row r="818" spans="1:4" x14ac:dyDescent="0.2">
      <c r="A818" s="5"/>
      <c r="C818" s="6"/>
      <c r="D818" s="6"/>
    </row>
    <row r="819" spans="1:4" x14ac:dyDescent="0.2">
      <c r="A819" s="5"/>
      <c r="C819" s="6"/>
      <c r="D819" s="6"/>
    </row>
    <row r="820" spans="1:4" x14ac:dyDescent="0.2">
      <c r="A820" s="5"/>
      <c r="C820" s="6"/>
      <c r="D820" s="6"/>
    </row>
    <row r="821" spans="1:4" x14ac:dyDescent="0.2">
      <c r="A821" s="5"/>
      <c r="C821" s="6"/>
      <c r="D821" s="6"/>
    </row>
    <row r="822" spans="1:4" x14ac:dyDescent="0.2">
      <c r="A822" s="5"/>
      <c r="C822" s="6"/>
      <c r="D822" s="6"/>
    </row>
    <row r="823" spans="1:4" x14ac:dyDescent="0.2">
      <c r="A823" s="5"/>
      <c r="C823" s="6"/>
      <c r="D823" s="6"/>
    </row>
    <row r="824" spans="1:4" x14ac:dyDescent="0.2">
      <c r="A824" s="5"/>
      <c r="C824" s="6"/>
      <c r="D824" s="6"/>
    </row>
    <row r="825" spans="1:4" x14ac:dyDescent="0.2">
      <c r="A825" s="5"/>
      <c r="C825" s="6"/>
      <c r="D825" s="6"/>
    </row>
    <row r="826" spans="1:4" x14ac:dyDescent="0.2">
      <c r="A826" s="5"/>
      <c r="C826" s="6"/>
      <c r="D826" s="6"/>
    </row>
    <row r="827" spans="1:4" x14ac:dyDescent="0.2">
      <c r="A827" s="5"/>
      <c r="C827" s="6"/>
      <c r="D827" s="6"/>
    </row>
    <row r="828" spans="1:4" x14ac:dyDescent="0.2">
      <c r="A828" s="5"/>
      <c r="C828" s="6"/>
      <c r="D828" s="6"/>
    </row>
    <row r="829" spans="1:4" x14ac:dyDescent="0.2">
      <c r="A829" s="5"/>
      <c r="C829" s="6"/>
      <c r="D829" s="6"/>
    </row>
    <row r="830" spans="1:4" x14ac:dyDescent="0.2">
      <c r="A830" s="5"/>
      <c r="C830" s="6"/>
      <c r="D830" s="6"/>
    </row>
    <row r="831" spans="1:4" x14ac:dyDescent="0.2">
      <c r="A831" s="5"/>
      <c r="C831" s="6"/>
      <c r="D831" s="6"/>
    </row>
    <row r="832" spans="1:4" x14ac:dyDescent="0.2">
      <c r="A832" s="5"/>
      <c r="C832" s="6"/>
      <c r="D832" s="6"/>
    </row>
    <row r="833" spans="1:4" x14ac:dyDescent="0.2">
      <c r="A833" s="5"/>
      <c r="C833" s="6"/>
      <c r="D833" s="6"/>
    </row>
    <row r="834" spans="1:4" x14ac:dyDescent="0.2">
      <c r="A834" s="5"/>
      <c r="C834" s="6"/>
      <c r="D834" s="6"/>
    </row>
    <row r="835" spans="1:4" x14ac:dyDescent="0.2">
      <c r="A835" s="5"/>
      <c r="C835" s="6"/>
      <c r="D835" s="6"/>
    </row>
    <row r="836" spans="1:4" x14ac:dyDescent="0.2">
      <c r="A836" s="5"/>
      <c r="C836" s="6"/>
      <c r="D836" s="6"/>
    </row>
    <row r="837" spans="1:4" x14ac:dyDescent="0.2">
      <c r="A837" s="5"/>
      <c r="C837" s="6"/>
      <c r="D837" s="6"/>
    </row>
    <row r="838" spans="1:4" x14ac:dyDescent="0.2">
      <c r="A838" s="5"/>
      <c r="C838" s="6"/>
      <c r="D838" s="6"/>
    </row>
    <row r="839" spans="1:4" x14ac:dyDescent="0.2">
      <c r="A839" s="5"/>
      <c r="C839" s="6"/>
      <c r="D839" s="6"/>
    </row>
    <row r="840" spans="1:4" x14ac:dyDescent="0.2">
      <c r="A840" s="5"/>
      <c r="C840" s="6"/>
      <c r="D840" s="6"/>
    </row>
    <row r="841" spans="1:4" x14ac:dyDescent="0.2">
      <c r="A841" s="5"/>
      <c r="C841" s="6"/>
      <c r="D841" s="6"/>
    </row>
    <row r="842" spans="1:4" x14ac:dyDescent="0.2">
      <c r="A842" s="5"/>
      <c r="C842" s="6"/>
      <c r="D842" s="6"/>
    </row>
    <row r="843" spans="1:4" x14ac:dyDescent="0.2">
      <c r="A843" s="5"/>
      <c r="C843" s="6"/>
      <c r="D843" s="6"/>
    </row>
    <row r="844" spans="1:4" x14ac:dyDescent="0.2">
      <c r="A844" s="5"/>
      <c r="C844" s="6"/>
      <c r="D844" s="6"/>
    </row>
    <row r="845" spans="1:4" x14ac:dyDescent="0.2">
      <c r="A845" s="5"/>
      <c r="C845" s="6"/>
      <c r="D845" s="6"/>
    </row>
    <row r="846" spans="1:4" x14ac:dyDescent="0.2">
      <c r="A846" s="5"/>
      <c r="C846" s="6"/>
      <c r="D846" s="6"/>
    </row>
    <row r="847" spans="1:4" x14ac:dyDescent="0.2">
      <c r="A847" s="5"/>
      <c r="C847" s="6"/>
      <c r="D847" s="6"/>
    </row>
    <row r="848" spans="1:4" x14ac:dyDescent="0.2">
      <c r="A848" s="5"/>
      <c r="C848" s="6"/>
      <c r="D848" s="6"/>
    </row>
    <row r="849" spans="1:4" x14ac:dyDescent="0.2">
      <c r="A849" s="5"/>
      <c r="C849" s="6"/>
      <c r="D849" s="6"/>
    </row>
    <row r="850" spans="1:4" x14ac:dyDescent="0.2">
      <c r="A850" s="5"/>
      <c r="C850" s="6"/>
      <c r="D850" s="6"/>
    </row>
    <row r="851" spans="1:4" x14ac:dyDescent="0.2">
      <c r="A851" s="5"/>
      <c r="C851" s="6"/>
      <c r="D851" s="6"/>
    </row>
    <row r="852" spans="1:4" x14ac:dyDescent="0.2">
      <c r="A852" s="5"/>
      <c r="C852" s="6"/>
      <c r="D852" s="6"/>
    </row>
    <row r="853" spans="1:4" x14ac:dyDescent="0.2">
      <c r="A853" s="5"/>
      <c r="C853" s="6"/>
      <c r="D853" s="6"/>
    </row>
    <row r="854" spans="1:4" x14ac:dyDescent="0.2">
      <c r="A854" s="5"/>
      <c r="C854" s="6"/>
      <c r="D854" s="6"/>
    </row>
    <row r="855" spans="1:4" x14ac:dyDescent="0.2">
      <c r="A855" s="5"/>
      <c r="C855" s="6"/>
      <c r="D855" s="6"/>
    </row>
    <row r="856" spans="1:4" x14ac:dyDescent="0.2">
      <c r="A856" s="5"/>
      <c r="C856" s="6"/>
      <c r="D856" s="6"/>
    </row>
    <row r="857" spans="1:4" x14ac:dyDescent="0.2">
      <c r="A857" s="5"/>
      <c r="C857" s="6"/>
      <c r="D857" s="6"/>
    </row>
    <row r="858" spans="1:4" x14ac:dyDescent="0.2">
      <c r="A858" s="5"/>
      <c r="C858" s="6"/>
      <c r="D858" s="6"/>
    </row>
    <row r="859" spans="1:4" x14ac:dyDescent="0.2">
      <c r="A859" s="5"/>
      <c r="C859" s="6"/>
      <c r="D859" s="6"/>
    </row>
    <row r="860" spans="1:4" x14ac:dyDescent="0.2">
      <c r="A860" s="5"/>
      <c r="C860" s="6"/>
      <c r="D860" s="6"/>
    </row>
    <row r="861" spans="1:4" x14ac:dyDescent="0.2">
      <c r="A861" s="5"/>
      <c r="C861" s="6"/>
      <c r="D861" s="6"/>
    </row>
    <row r="862" spans="1:4" x14ac:dyDescent="0.2">
      <c r="A862" s="5"/>
      <c r="C862" s="6"/>
      <c r="D862" s="6"/>
    </row>
    <row r="863" spans="1:4" x14ac:dyDescent="0.2">
      <c r="A863" s="5"/>
      <c r="C863" s="6"/>
      <c r="D863" s="6"/>
    </row>
    <row r="864" spans="1:4" x14ac:dyDescent="0.2">
      <c r="A864" s="5"/>
      <c r="C864" s="6"/>
      <c r="D864" s="6"/>
    </row>
    <row r="865" spans="1:4" x14ac:dyDescent="0.2">
      <c r="A865" s="5"/>
      <c r="C865" s="6"/>
      <c r="D865" s="6"/>
    </row>
    <row r="866" spans="1:4" x14ac:dyDescent="0.2">
      <c r="A866" s="5"/>
      <c r="C866" s="6"/>
      <c r="D866" s="6"/>
    </row>
    <row r="867" spans="1:4" x14ac:dyDescent="0.2">
      <c r="A867" s="5"/>
      <c r="C867" s="6"/>
      <c r="D867" s="6"/>
    </row>
    <row r="868" spans="1:4" x14ac:dyDescent="0.2">
      <c r="A868" s="5"/>
      <c r="C868" s="6"/>
      <c r="D868" s="6"/>
    </row>
    <row r="869" spans="1:4" x14ac:dyDescent="0.2">
      <c r="A869" s="5"/>
      <c r="C869" s="6"/>
      <c r="D869" s="6"/>
    </row>
    <row r="870" spans="1:4" x14ac:dyDescent="0.2">
      <c r="A870" s="5"/>
      <c r="C870" s="6"/>
      <c r="D870" s="6"/>
    </row>
    <row r="871" spans="1:4" x14ac:dyDescent="0.2">
      <c r="A871" s="5"/>
      <c r="C871" s="6"/>
      <c r="D871" s="6"/>
    </row>
    <row r="872" spans="1:4" x14ac:dyDescent="0.2">
      <c r="A872" s="5"/>
      <c r="C872" s="6"/>
      <c r="D872" s="6"/>
    </row>
    <row r="873" spans="1:4" x14ac:dyDescent="0.2">
      <c r="A873" s="5"/>
      <c r="C873" s="6"/>
      <c r="D873" s="6"/>
    </row>
    <row r="874" spans="1:4" x14ac:dyDescent="0.2">
      <c r="A874" s="5"/>
      <c r="C874" s="6"/>
      <c r="D874" s="6"/>
    </row>
    <row r="875" spans="1:4" x14ac:dyDescent="0.2">
      <c r="A875" s="5"/>
      <c r="C875" s="6"/>
      <c r="D875" s="6"/>
    </row>
    <row r="876" spans="1:4" x14ac:dyDescent="0.2">
      <c r="A876" s="5"/>
      <c r="C876" s="6"/>
      <c r="D876" s="6"/>
    </row>
    <row r="877" spans="1:4" x14ac:dyDescent="0.2">
      <c r="A877" s="5"/>
      <c r="C877" s="6"/>
      <c r="D877" s="6"/>
    </row>
    <row r="878" spans="1:4" x14ac:dyDescent="0.2">
      <c r="A878" s="5"/>
      <c r="C878" s="6"/>
      <c r="D878" s="6"/>
    </row>
    <row r="879" spans="1:4" x14ac:dyDescent="0.2">
      <c r="A879" s="5"/>
      <c r="C879" s="6"/>
      <c r="D879" s="6"/>
    </row>
    <row r="880" spans="1:4" x14ac:dyDescent="0.2">
      <c r="A880" s="5"/>
      <c r="C880" s="6"/>
      <c r="D880" s="6"/>
    </row>
    <row r="881" spans="1:4" x14ac:dyDescent="0.2">
      <c r="A881" s="5"/>
      <c r="C881" s="6"/>
      <c r="D881" s="6"/>
    </row>
    <row r="882" spans="1:4" x14ac:dyDescent="0.2">
      <c r="A882" s="5"/>
      <c r="C882" s="6"/>
      <c r="D882" s="6"/>
    </row>
    <row r="883" spans="1:4" x14ac:dyDescent="0.2">
      <c r="A883" s="5"/>
      <c r="C883" s="6"/>
      <c r="D883" s="6"/>
    </row>
    <row r="884" spans="1:4" x14ac:dyDescent="0.2">
      <c r="A884" s="5"/>
      <c r="C884" s="6"/>
      <c r="D884" s="6"/>
    </row>
    <row r="885" spans="1:4" x14ac:dyDescent="0.2">
      <c r="A885" s="5"/>
      <c r="C885" s="6"/>
      <c r="D885" s="6"/>
    </row>
    <row r="886" spans="1:4" x14ac:dyDescent="0.2">
      <c r="A886" s="5"/>
      <c r="C886" s="6"/>
      <c r="D886" s="6"/>
    </row>
    <row r="887" spans="1:4" x14ac:dyDescent="0.2">
      <c r="A887" s="5"/>
      <c r="C887" s="6"/>
      <c r="D887" s="6"/>
    </row>
    <row r="888" spans="1:4" x14ac:dyDescent="0.2">
      <c r="A888" s="5"/>
      <c r="C888" s="6"/>
      <c r="D888" s="6"/>
    </row>
    <row r="889" spans="1:4" x14ac:dyDescent="0.2">
      <c r="A889" s="5"/>
      <c r="C889" s="6"/>
      <c r="D889" s="6"/>
    </row>
    <row r="890" spans="1:4" x14ac:dyDescent="0.2">
      <c r="A890" s="5"/>
      <c r="C890" s="6"/>
      <c r="D890" s="6"/>
    </row>
    <row r="891" spans="1:4" x14ac:dyDescent="0.2">
      <c r="A891" s="5"/>
      <c r="C891" s="6"/>
      <c r="D891" s="6"/>
    </row>
    <row r="892" spans="1:4" x14ac:dyDescent="0.2">
      <c r="A892" s="5"/>
      <c r="C892" s="6"/>
      <c r="D892" s="6"/>
    </row>
    <row r="893" spans="1:4" x14ac:dyDescent="0.2">
      <c r="A893" s="5"/>
      <c r="C893" s="6"/>
      <c r="D893" s="6"/>
    </row>
    <row r="894" spans="1:4" x14ac:dyDescent="0.2">
      <c r="A894" s="5"/>
      <c r="C894" s="6"/>
      <c r="D894" s="6"/>
    </row>
    <row r="895" spans="1:4" x14ac:dyDescent="0.2">
      <c r="A895" s="5"/>
      <c r="C895" s="6"/>
      <c r="D895" s="6"/>
    </row>
    <row r="896" spans="1:4" x14ac:dyDescent="0.2">
      <c r="A896" s="5"/>
      <c r="C896" s="6"/>
      <c r="D896" s="6"/>
    </row>
    <row r="897" spans="1:4" x14ac:dyDescent="0.2">
      <c r="A897" s="5"/>
      <c r="C897" s="6"/>
      <c r="D897" s="6"/>
    </row>
    <row r="898" spans="1:4" x14ac:dyDescent="0.2">
      <c r="A898" s="5"/>
      <c r="C898" s="6"/>
      <c r="D898" s="6"/>
    </row>
    <row r="899" spans="1:4" x14ac:dyDescent="0.2">
      <c r="A899" s="5"/>
      <c r="C899" s="6"/>
      <c r="D899" s="6"/>
    </row>
    <row r="900" spans="1:4" x14ac:dyDescent="0.2">
      <c r="A900" s="5"/>
      <c r="C900" s="6"/>
      <c r="D900" s="6"/>
    </row>
    <row r="901" spans="1:4" x14ac:dyDescent="0.2">
      <c r="A901" s="5"/>
      <c r="C901" s="6"/>
      <c r="D901" s="6"/>
    </row>
    <row r="902" spans="1:4" x14ac:dyDescent="0.2">
      <c r="A902" s="5"/>
      <c r="C902" s="6"/>
      <c r="D902" s="6"/>
    </row>
    <row r="903" spans="1:4" x14ac:dyDescent="0.2">
      <c r="A903" s="5"/>
      <c r="C903" s="6"/>
      <c r="D903" s="6"/>
    </row>
    <row r="904" spans="1:4" x14ac:dyDescent="0.2">
      <c r="A904" s="5"/>
      <c r="C904" s="6"/>
      <c r="D904" s="6"/>
    </row>
    <row r="905" spans="1:4" x14ac:dyDescent="0.2">
      <c r="A905" s="5"/>
      <c r="C905" s="6"/>
      <c r="D905" s="6"/>
    </row>
    <row r="906" spans="1:4" x14ac:dyDescent="0.2">
      <c r="A906" s="5"/>
      <c r="C906" s="6"/>
      <c r="D906" s="6"/>
    </row>
    <row r="907" spans="1:4" x14ac:dyDescent="0.2">
      <c r="A907" s="5"/>
      <c r="C907" s="6"/>
      <c r="D907" s="6"/>
    </row>
    <row r="908" spans="1:4" x14ac:dyDescent="0.2">
      <c r="A908" s="5"/>
      <c r="C908" s="6"/>
      <c r="D908" s="6"/>
    </row>
    <row r="909" spans="1:4" x14ac:dyDescent="0.2">
      <c r="A909" s="5"/>
      <c r="C909" s="6"/>
      <c r="D909" s="6"/>
    </row>
    <row r="910" spans="1:4" x14ac:dyDescent="0.2">
      <c r="A910" s="5"/>
      <c r="C910" s="6"/>
      <c r="D910" s="6"/>
    </row>
    <row r="911" spans="1:4" x14ac:dyDescent="0.2">
      <c r="A911" s="5"/>
      <c r="C911" s="6"/>
      <c r="D911" s="6"/>
    </row>
    <row r="912" spans="1:4" x14ac:dyDescent="0.2">
      <c r="A912" s="5"/>
      <c r="C912" s="6"/>
      <c r="D912" s="6"/>
    </row>
    <row r="913" spans="1:4" x14ac:dyDescent="0.2">
      <c r="A913" s="5"/>
      <c r="C913" s="6"/>
      <c r="D913" s="6"/>
    </row>
    <row r="914" spans="1:4" x14ac:dyDescent="0.2">
      <c r="A914" s="5"/>
      <c r="C914" s="6"/>
      <c r="D914" s="6"/>
    </row>
    <row r="915" spans="1:4" x14ac:dyDescent="0.2">
      <c r="A915" s="5"/>
      <c r="C915" s="6"/>
      <c r="D915" s="6"/>
    </row>
    <row r="916" spans="1:4" x14ac:dyDescent="0.2">
      <c r="A916" s="5"/>
      <c r="C916" s="6"/>
      <c r="D916" s="6"/>
    </row>
    <row r="917" spans="1:4" x14ac:dyDescent="0.2">
      <c r="A917" s="5"/>
      <c r="C917" s="6"/>
      <c r="D917" s="6"/>
    </row>
    <row r="918" spans="1:4" x14ac:dyDescent="0.2">
      <c r="A918" s="5"/>
      <c r="C918" s="6"/>
      <c r="D918" s="6"/>
    </row>
    <row r="919" spans="1:4" x14ac:dyDescent="0.2">
      <c r="A919" s="5"/>
      <c r="C919" s="6"/>
      <c r="D919" s="6"/>
    </row>
    <row r="920" spans="1:4" x14ac:dyDescent="0.2">
      <c r="A920" s="5"/>
      <c r="C920" s="6"/>
      <c r="D920" s="6"/>
    </row>
    <row r="921" spans="1:4" x14ac:dyDescent="0.2">
      <c r="A921" s="5"/>
      <c r="C921" s="6"/>
      <c r="D921" s="6"/>
    </row>
    <row r="922" spans="1:4" x14ac:dyDescent="0.2">
      <c r="A922" s="5"/>
      <c r="C922" s="6"/>
      <c r="D922" s="6"/>
    </row>
    <row r="923" spans="1:4" x14ac:dyDescent="0.2">
      <c r="A923" s="5"/>
      <c r="C923" s="6"/>
      <c r="D923" s="6"/>
    </row>
    <row r="924" spans="1:4" x14ac:dyDescent="0.2">
      <c r="A924" s="5"/>
      <c r="C924" s="6"/>
      <c r="D924" s="6"/>
    </row>
    <row r="925" spans="1:4" x14ac:dyDescent="0.2">
      <c r="A925" s="5"/>
      <c r="C925" s="6"/>
      <c r="D925" s="6"/>
    </row>
    <row r="926" spans="1:4" x14ac:dyDescent="0.2">
      <c r="A926" s="5"/>
      <c r="C926" s="6"/>
      <c r="D926" s="6"/>
    </row>
    <row r="927" spans="1:4" x14ac:dyDescent="0.2">
      <c r="A927" s="5"/>
      <c r="C927" s="6"/>
      <c r="D927" s="6"/>
    </row>
    <row r="928" spans="1:4" x14ac:dyDescent="0.2">
      <c r="A928" s="5"/>
      <c r="C928" s="6"/>
      <c r="D928" s="6"/>
    </row>
    <row r="929" spans="1:4" x14ac:dyDescent="0.2">
      <c r="A929" s="5"/>
      <c r="C929" s="6"/>
      <c r="D929" s="6"/>
    </row>
    <row r="930" spans="1:4" x14ac:dyDescent="0.2">
      <c r="A930" s="5"/>
      <c r="C930" s="6"/>
      <c r="D930" s="6"/>
    </row>
    <row r="931" spans="1:4" x14ac:dyDescent="0.2">
      <c r="A931" s="5"/>
      <c r="C931" s="6"/>
      <c r="D931" s="6"/>
    </row>
    <row r="932" spans="1:4" x14ac:dyDescent="0.2">
      <c r="A932" s="5"/>
      <c r="C932" s="6"/>
      <c r="D932" s="6"/>
    </row>
    <row r="933" spans="1:4" x14ac:dyDescent="0.2">
      <c r="A933" s="5"/>
      <c r="C933" s="6"/>
      <c r="D933" s="6"/>
    </row>
    <row r="934" spans="1:4" x14ac:dyDescent="0.2">
      <c r="A934" s="5"/>
      <c r="C934" s="6"/>
      <c r="D934" s="6"/>
    </row>
    <row r="935" spans="1:4" x14ac:dyDescent="0.2">
      <c r="A935" s="5"/>
      <c r="C935" s="6"/>
      <c r="D935" s="6"/>
    </row>
    <row r="936" spans="1:4" x14ac:dyDescent="0.2">
      <c r="A936" s="5"/>
      <c r="C936" s="6"/>
      <c r="D936" s="6"/>
    </row>
    <row r="937" spans="1:4" x14ac:dyDescent="0.2">
      <c r="A937" s="5"/>
      <c r="C937" s="6"/>
      <c r="D937" s="6"/>
    </row>
    <row r="938" spans="1:4" x14ac:dyDescent="0.2">
      <c r="A938" s="5"/>
      <c r="C938" s="6"/>
      <c r="D938" s="6"/>
    </row>
    <row r="939" spans="1:4" x14ac:dyDescent="0.2">
      <c r="A939" s="5"/>
      <c r="C939" s="6"/>
      <c r="D939" s="6"/>
    </row>
    <row r="940" spans="1:4" x14ac:dyDescent="0.2">
      <c r="A940" s="5"/>
      <c r="C940" s="6"/>
      <c r="D940" s="6"/>
    </row>
    <row r="941" spans="1:4" x14ac:dyDescent="0.2">
      <c r="A941" s="5"/>
      <c r="C941" s="6"/>
      <c r="D941" s="6"/>
    </row>
    <row r="942" spans="1:4" x14ac:dyDescent="0.2">
      <c r="A942" s="5"/>
      <c r="C942" s="6"/>
      <c r="D942" s="6"/>
    </row>
    <row r="943" spans="1:4" x14ac:dyDescent="0.2">
      <c r="A943" s="5"/>
      <c r="C943" s="6"/>
      <c r="D943" s="6"/>
    </row>
    <row r="944" spans="1:4" x14ac:dyDescent="0.2">
      <c r="A944" s="5"/>
      <c r="C944" s="6"/>
      <c r="D944" s="6"/>
    </row>
    <row r="945" spans="1:4" x14ac:dyDescent="0.2">
      <c r="A945" s="5"/>
      <c r="C945" s="6"/>
      <c r="D945" s="6"/>
    </row>
    <row r="946" spans="1:4" x14ac:dyDescent="0.2">
      <c r="A946" s="5"/>
      <c r="C946" s="6"/>
      <c r="D946" s="6"/>
    </row>
    <row r="947" spans="1:4" x14ac:dyDescent="0.2">
      <c r="A947" s="5"/>
      <c r="C947" s="6"/>
      <c r="D947" s="6"/>
    </row>
    <row r="948" spans="1:4" x14ac:dyDescent="0.2">
      <c r="A948" s="5"/>
      <c r="C948" s="6"/>
      <c r="D948" s="6"/>
    </row>
    <row r="949" spans="1:4" x14ac:dyDescent="0.2">
      <c r="A949" s="5"/>
      <c r="C949" s="6"/>
      <c r="D949" s="6"/>
    </row>
    <row r="950" spans="1:4" x14ac:dyDescent="0.2">
      <c r="A950" s="5"/>
      <c r="C950" s="6"/>
      <c r="D950" s="6"/>
    </row>
    <row r="951" spans="1:4" x14ac:dyDescent="0.2">
      <c r="A951" s="5"/>
      <c r="C951" s="6"/>
      <c r="D951" s="6"/>
    </row>
    <row r="952" spans="1:4" x14ac:dyDescent="0.2">
      <c r="A952" s="5"/>
      <c r="C952" s="6"/>
      <c r="D952" s="6"/>
    </row>
    <row r="953" spans="1:4" x14ac:dyDescent="0.2">
      <c r="A953" s="5"/>
      <c r="C953" s="6"/>
      <c r="D953" s="6"/>
    </row>
    <row r="954" spans="1:4" x14ac:dyDescent="0.2">
      <c r="A954" s="5"/>
      <c r="C954" s="6"/>
      <c r="D954" s="6"/>
    </row>
    <row r="955" spans="1:4" x14ac:dyDescent="0.2">
      <c r="A955" s="5"/>
      <c r="C955" s="6"/>
      <c r="D955" s="6"/>
    </row>
    <row r="956" spans="1:4" x14ac:dyDescent="0.2">
      <c r="A956" s="5"/>
      <c r="C956" s="6"/>
      <c r="D956" s="6"/>
    </row>
    <row r="957" spans="1:4" x14ac:dyDescent="0.2">
      <c r="A957" s="5"/>
      <c r="C957" s="6"/>
      <c r="D957" s="6"/>
    </row>
    <row r="958" spans="1:4" x14ac:dyDescent="0.2">
      <c r="A958" s="5"/>
      <c r="C958" s="6"/>
      <c r="D958" s="6"/>
    </row>
    <row r="959" spans="1:4" x14ac:dyDescent="0.2">
      <c r="A959" s="5"/>
      <c r="C959" s="6"/>
      <c r="D959" s="6"/>
    </row>
    <row r="960" spans="1:4" x14ac:dyDescent="0.2">
      <c r="A960" s="5"/>
      <c r="C960" s="6"/>
      <c r="D960" s="6"/>
    </row>
    <row r="961" spans="1:4" x14ac:dyDescent="0.2">
      <c r="A961" s="5"/>
      <c r="C961" s="6"/>
      <c r="D961" s="6"/>
    </row>
    <row r="962" spans="1:4" x14ac:dyDescent="0.2">
      <c r="A962" s="5"/>
      <c r="C962" s="6"/>
      <c r="D962" s="6"/>
    </row>
    <row r="963" spans="1:4" x14ac:dyDescent="0.2">
      <c r="A963" s="5"/>
      <c r="C963" s="6"/>
      <c r="D963" s="6"/>
    </row>
    <row r="964" spans="1:4" x14ac:dyDescent="0.2">
      <c r="A964" s="5"/>
      <c r="C964" s="6"/>
      <c r="D964" s="6"/>
    </row>
    <row r="965" spans="1:4" x14ac:dyDescent="0.2">
      <c r="A965" s="5"/>
      <c r="C965" s="6"/>
      <c r="D965" s="6"/>
    </row>
    <row r="966" spans="1:4" x14ac:dyDescent="0.2">
      <c r="A966" s="5"/>
      <c r="C966" s="6"/>
      <c r="D966" s="6"/>
    </row>
    <row r="967" spans="1:4" x14ac:dyDescent="0.2">
      <c r="A967" s="5"/>
      <c r="C967" s="6"/>
      <c r="D967" s="6"/>
    </row>
    <row r="968" spans="1:4" x14ac:dyDescent="0.2">
      <c r="A968" s="5"/>
      <c r="C968" s="6"/>
      <c r="D968" s="6"/>
    </row>
    <row r="969" spans="1:4" x14ac:dyDescent="0.2">
      <c r="A969" s="5"/>
      <c r="C969" s="6"/>
      <c r="D969" s="6"/>
    </row>
    <row r="970" spans="1:4" x14ac:dyDescent="0.2">
      <c r="A970" s="5"/>
      <c r="C970" s="6"/>
      <c r="D970" s="6"/>
    </row>
    <row r="971" spans="1:4" x14ac:dyDescent="0.2">
      <c r="A971" s="5"/>
      <c r="C971" s="6"/>
      <c r="D971" s="6"/>
    </row>
    <row r="972" spans="1:4" x14ac:dyDescent="0.2">
      <c r="A972" s="5"/>
      <c r="C972" s="6"/>
      <c r="D972" s="6"/>
    </row>
    <row r="973" spans="1:4" x14ac:dyDescent="0.2">
      <c r="A973" s="5"/>
      <c r="C973" s="6"/>
      <c r="D973" s="6"/>
    </row>
    <row r="974" spans="1:4" x14ac:dyDescent="0.2">
      <c r="A974" s="5"/>
      <c r="C974" s="6"/>
      <c r="D974" s="6"/>
    </row>
    <row r="975" spans="1:4" x14ac:dyDescent="0.2">
      <c r="A975" s="5"/>
      <c r="C975" s="6"/>
      <c r="D975" s="6"/>
    </row>
    <row r="976" spans="1:4" x14ac:dyDescent="0.2">
      <c r="A976" s="5"/>
      <c r="C976" s="6"/>
      <c r="D976" s="6"/>
    </row>
    <row r="977" spans="1:4" x14ac:dyDescent="0.2">
      <c r="A977" s="5"/>
      <c r="C977" s="6"/>
      <c r="D977" s="6"/>
    </row>
    <row r="978" spans="1:4" x14ac:dyDescent="0.2">
      <c r="A978" s="5"/>
      <c r="C978" s="6"/>
      <c r="D978" s="6"/>
    </row>
    <row r="979" spans="1:4" x14ac:dyDescent="0.2">
      <c r="A979" s="5"/>
      <c r="C979" s="6"/>
      <c r="D979" s="6"/>
    </row>
    <row r="980" spans="1:4" x14ac:dyDescent="0.2">
      <c r="A980" s="5"/>
      <c r="C980" s="6"/>
      <c r="D980" s="6"/>
    </row>
    <row r="981" spans="1:4" x14ac:dyDescent="0.2">
      <c r="A981" s="5"/>
      <c r="C981" s="6"/>
      <c r="D981" s="6"/>
    </row>
    <row r="982" spans="1:4" x14ac:dyDescent="0.2">
      <c r="A982" s="5"/>
      <c r="C982" s="6"/>
      <c r="D982" s="6"/>
    </row>
    <row r="983" spans="1:4" x14ac:dyDescent="0.2">
      <c r="A983" s="5"/>
      <c r="C983" s="6"/>
      <c r="D983" s="6"/>
    </row>
    <row r="984" spans="1:4" x14ac:dyDescent="0.2">
      <c r="A984" s="5"/>
      <c r="C984" s="6"/>
      <c r="D984" s="6"/>
    </row>
    <row r="985" spans="1:4" x14ac:dyDescent="0.2">
      <c r="A985" s="5"/>
      <c r="C985" s="6"/>
      <c r="D985" s="6"/>
    </row>
    <row r="986" spans="1:4" x14ac:dyDescent="0.2">
      <c r="A986" s="5"/>
      <c r="C986" s="6"/>
      <c r="D986" s="6"/>
    </row>
    <row r="987" spans="1:4" x14ac:dyDescent="0.2">
      <c r="A987" s="5"/>
      <c r="C987" s="6"/>
      <c r="D987" s="6"/>
    </row>
    <row r="988" spans="1:4" x14ac:dyDescent="0.2">
      <c r="A988" s="5"/>
      <c r="C988" s="6"/>
      <c r="D988" s="6"/>
    </row>
    <row r="989" spans="1:4" x14ac:dyDescent="0.2">
      <c r="A989" s="5"/>
      <c r="C989" s="6"/>
      <c r="D989" s="6"/>
    </row>
    <row r="990" spans="1:4" x14ac:dyDescent="0.2">
      <c r="A990" s="5"/>
      <c r="C990" s="6"/>
      <c r="D990" s="6"/>
    </row>
    <row r="991" spans="1:4" x14ac:dyDescent="0.2">
      <c r="A991" s="5"/>
      <c r="C991" s="6"/>
      <c r="D991" s="6"/>
    </row>
    <row r="992" spans="1:4" x14ac:dyDescent="0.2">
      <c r="A992" s="5"/>
      <c r="C992" s="6"/>
      <c r="D992" s="6"/>
    </row>
    <row r="993" spans="1:4" x14ac:dyDescent="0.2">
      <c r="A993" s="5"/>
      <c r="C993" s="6"/>
      <c r="D993" s="6"/>
    </row>
    <row r="994" spans="1:4" x14ac:dyDescent="0.2">
      <c r="A994" s="5"/>
      <c r="C994" s="6"/>
      <c r="D994" s="6"/>
    </row>
    <row r="995" spans="1:4" x14ac:dyDescent="0.2">
      <c r="A995" s="5"/>
      <c r="C995" s="6"/>
      <c r="D995" s="6"/>
    </row>
    <row r="996" spans="1:4" x14ac:dyDescent="0.2">
      <c r="A996" s="5"/>
      <c r="C996" s="6"/>
      <c r="D996" s="6"/>
    </row>
    <row r="997" spans="1:4" x14ac:dyDescent="0.2">
      <c r="A997" s="5"/>
      <c r="C997" s="6"/>
      <c r="D997" s="6"/>
    </row>
    <row r="998" spans="1:4" x14ac:dyDescent="0.2">
      <c r="A998" s="5"/>
      <c r="C998" s="6"/>
      <c r="D998" s="6"/>
    </row>
    <row r="999" spans="1:4" x14ac:dyDescent="0.2">
      <c r="A999" s="5"/>
      <c r="C999" s="6"/>
      <c r="D999" s="6"/>
    </row>
    <row r="1000" spans="1:4" x14ac:dyDescent="0.2">
      <c r="A1000" s="5"/>
      <c r="C1000" s="6"/>
      <c r="D1000" s="6"/>
    </row>
  </sheetData>
  <mergeCells count="3">
    <mergeCell ref="A1:E1"/>
    <mergeCell ref="A2:E2"/>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AE60-BF3F-44DB-B63B-ADBA2211271F}">
  <dimension ref="A1:I114"/>
  <sheetViews>
    <sheetView tabSelected="1" topLeftCell="G1" workbookViewId="0">
      <pane ySplit="5" topLeftCell="A6" activePane="bottomLeft" state="frozen"/>
      <selection pane="bottomLeft" activeCell="L11" sqref="L11"/>
    </sheetView>
  </sheetViews>
  <sheetFormatPr baseColWidth="10" defaultColWidth="8.83203125" defaultRowHeight="15" x14ac:dyDescent="0.2"/>
  <cols>
    <col min="1" max="1" width="15" customWidth="1"/>
    <col min="2" max="3" width="16.6640625" customWidth="1"/>
    <col min="4" max="5" width="25" customWidth="1"/>
    <col min="6" max="8" width="20.83203125" customWidth="1"/>
    <col min="9" max="9" width="100" customWidth="1"/>
  </cols>
  <sheetData>
    <row r="1" spans="1:9" ht="32.25" customHeight="1" x14ac:dyDescent="0.2">
      <c r="A1" s="14" t="s">
        <v>54</v>
      </c>
      <c r="B1" s="14"/>
      <c r="C1" s="14"/>
      <c r="D1" s="14"/>
      <c r="E1" s="14"/>
      <c r="F1" s="14"/>
      <c r="G1" s="14"/>
      <c r="H1" s="14"/>
      <c r="I1" s="14"/>
    </row>
    <row r="2" spans="1:9" ht="21.75" customHeight="1" x14ac:dyDescent="0.2">
      <c r="A2" s="15" t="s">
        <v>55</v>
      </c>
      <c r="B2" s="15"/>
      <c r="C2" s="15"/>
      <c r="D2" s="15"/>
      <c r="E2" s="15"/>
      <c r="F2" s="15"/>
      <c r="G2" s="15"/>
      <c r="H2" s="15"/>
      <c r="I2" s="15"/>
    </row>
    <row r="3" spans="1:9" ht="21.75" customHeight="1" x14ac:dyDescent="0.2">
      <c r="A3" s="16" t="s">
        <v>56</v>
      </c>
      <c r="B3" s="16"/>
      <c r="C3" s="16"/>
      <c r="D3" s="16"/>
      <c r="E3" s="16"/>
      <c r="F3" s="16"/>
      <c r="G3" s="16"/>
      <c r="H3" s="16"/>
      <c r="I3" s="16"/>
    </row>
    <row r="4" spans="1:9" ht="9" customHeight="1" x14ac:dyDescent="0.2">
      <c r="A4" s="18"/>
      <c r="B4" s="18"/>
      <c r="C4" s="18"/>
      <c r="D4" s="18"/>
      <c r="E4" s="18"/>
      <c r="F4" s="18"/>
      <c r="G4" s="18"/>
      <c r="H4" s="18"/>
      <c r="I4" s="18"/>
    </row>
    <row r="5" spans="1:9" ht="30" customHeight="1" x14ac:dyDescent="0.2">
      <c r="A5" s="22" t="s">
        <v>32</v>
      </c>
      <c r="B5" s="22" t="s">
        <v>57</v>
      </c>
      <c r="C5" s="22" t="s">
        <v>40</v>
      </c>
      <c r="D5" s="22" t="s">
        <v>49</v>
      </c>
      <c r="E5" s="22" t="s">
        <v>50</v>
      </c>
      <c r="F5" s="22" t="s">
        <v>58</v>
      </c>
      <c r="G5" s="22" t="s">
        <v>59</v>
      </c>
      <c r="H5" s="22" t="s">
        <v>60</v>
      </c>
      <c r="I5" s="22" t="s">
        <v>51</v>
      </c>
    </row>
    <row r="6" spans="1:9" ht="75" customHeight="1" x14ac:dyDescent="0.2">
      <c r="A6" s="24">
        <v>0</v>
      </c>
      <c r="B6" s="24">
        <v>0</v>
      </c>
      <c r="C6" s="24">
        <v>0</v>
      </c>
      <c r="D6" s="25">
        <v>45958.5</v>
      </c>
      <c r="E6" s="25">
        <v>45958.875</v>
      </c>
      <c r="F6" s="27">
        <f>AVERAGEIFS(best_track_ref!$E$6:$E$54,best_track_ref!$A$6:$A$54,"&gt;="&amp;(D6-1/86400),best_track_ref!$A$6:$A$54,"&lt;="&amp;(E6+1/86400))</f>
        <v>156.66666666666666</v>
      </c>
      <c r="G6" s="27">
        <v>817.1</v>
      </c>
      <c r="H6" s="27"/>
      <c r="I6" s="23" t="s">
        <v>99</v>
      </c>
    </row>
    <row r="7" spans="1:9" ht="75" customHeight="1" x14ac:dyDescent="0.2">
      <c r="A7" s="24">
        <v>1</v>
      </c>
      <c r="B7" s="24">
        <v>0</v>
      </c>
      <c r="C7" s="24">
        <v>1</v>
      </c>
      <c r="D7" s="25">
        <v>45959.305555555598</v>
      </c>
      <c r="E7" s="25">
        <v>45959.541666666701</v>
      </c>
      <c r="F7" s="27">
        <f>AVERAGEIFS(best_track_ref!$E$6:$E$54,best_track_ref!$A$6:$A$54,"&gt;="&amp;(D7-1/86400),best_track_ref!$A$6:$A$54,"&lt;="&amp;(E7+1/86400))</f>
        <v>92.5</v>
      </c>
      <c r="G7" s="27">
        <v>670</v>
      </c>
      <c r="H7" s="27"/>
      <c r="I7" s="23" t="s">
        <v>100</v>
      </c>
    </row>
    <row r="8" spans="1:9" ht="75" customHeight="1" x14ac:dyDescent="0.2">
      <c r="A8" s="24">
        <v>2</v>
      </c>
      <c r="B8" s="24">
        <v>0</v>
      </c>
      <c r="C8" s="24">
        <v>2</v>
      </c>
      <c r="D8" s="25">
        <v>45959.927083333299</v>
      </c>
      <c r="E8" s="25">
        <v>45960.083333333299</v>
      </c>
      <c r="F8" s="27">
        <f>AVERAGEIFS(best_track_ref!$E$6:$E$54,best_track_ref!$A$6:$A$54,"&gt;="&amp;(D8-1/86400),best_track_ref!$A$6:$A$54,"&lt;="&amp;(E8+1/86400))</f>
        <v>80</v>
      </c>
      <c r="G8" s="27">
        <v>198</v>
      </c>
      <c r="H8" s="27"/>
      <c r="I8" s="23" t="s">
        <v>101</v>
      </c>
    </row>
    <row r="9" spans="1:9" ht="75" customHeight="1" x14ac:dyDescent="0.2">
      <c r="A9" s="24">
        <v>3</v>
      </c>
      <c r="B9" s="24">
        <v>0</v>
      </c>
      <c r="C9" s="24">
        <v>3</v>
      </c>
      <c r="D9" s="25"/>
      <c r="E9" s="25"/>
      <c r="F9" s="27"/>
      <c r="G9" s="27">
        <v>934</v>
      </c>
      <c r="H9" s="27"/>
      <c r="I9" s="23" t="s">
        <v>102</v>
      </c>
    </row>
    <row r="10" spans="1:9" ht="75" customHeight="1" x14ac:dyDescent="0.2">
      <c r="A10" s="24">
        <v>4</v>
      </c>
      <c r="B10" s="24">
        <v>0</v>
      </c>
      <c r="C10" s="24">
        <v>4</v>
      </c>
      <c r="D10" s="25">
        <v>45958.666666666664</v>
      </c>
      <c r="E10" s="25">
        <v>45958.666666666664</v>
      </c>
      <c r="F10" s="27">
        <v>47</v>
      </c>
      <c r="G10" s="27"/>
      <c r="H10" s="27"/>
      <c r="I10" s="23" t="s">
        <v>170</v>
      </c>
    </row>
    <row r="11" spans="1:9" ht="75" customHeight="1" x14ac:dyDescent="0.2">
      <c r="A11" s="24">
        <v>5</v>
      </c>
      <c r="B11" s="24">
        <v>0</v>
      </c>
      <c r="C11" s="24">
        <v>5</v>
      </c>
      <c r="D11" s="25">
        <v>45958.833333333336</v>
      </c>
      <c r="E11" s="25">
        <v>45958.833333333336</v>
      </c>
      <c r="F11" s="27">
        <v>57</v>
      </c>
      <c r="G11" s="27"/>
      <c r="H11" s="27"/>
      <c r="I11" s="23" t="s">
        <v>171</v>
      </c>
    </row>
    <row r="12" spans="1:9" ht="75" customHeight="1" x14ac:dyDescent="0.2">
      <c r="A12" s="24">
        <v>6</v>
      </c>
      <c r="B12" s="24">
        <v>0</v>
      </c>
      <c r="C12" s="24">
        <v>6</v>
      </c>
      <c r="D12" s="25">
        <v>45958.958333333336</v>
      </c>
      <c r="E12" s="25">
        <v>45958.958333333336</v>
      </c>
      <c r="F12" s="27">
        <v>45</v>
      </c>
      <c r="G12" s="27"/>
      <c r="H12" s="27"/>
      <c r="I12" s="23" t="s">
        <v>172</v>
      </c>
    </row>
    <row r="13" spans="1:9" ht="75" customHeight="1" x14ac:dyDescent="0.2">
      <c r="A13" s="24">
        <v>7</v>
      </c>
      <c r="B13" s="24">
        <v>0</v>
      </c>
      <c r="C13" s="24">
        <v>7</v>
      </c>
      <c r="D13" s="25">
        <v>45958.75</v>
      </c>
      <c r="E13" s="25">
        <v>45958.75</v>
      </c>
      <c r="F13" s="27">
        <v>40</v>
      </c>
      <c r="G13" s="27"/>
      <c r="H13" s="27"/>
      <c r="I13" s="23" t="s">
        <v>173</v>
      </c>
    </row>
    <row r="14" spans="1:9" ht="75" customHeight="1" x14ac:dyDescent="0.2">
      <c r="A14" s="24">
        <v>8</v>
      </c>
      <c r="B14" s="24">
        <v>0</v>
      </c>
      <c r="C14" s="24">
        <v>8</v>
      </c>
      <c r="D14" s="25">
        <v>45958.708333333336</v>
      </c>
      <c r="E14" s="25">
        <v>45958.708333333336</v>
      </c>
      <c r="F14" s="27">
        <v>56</v>
      </c>
      <c r="G14" s="27">
        <f>ROUND(20.01*25.4,1)</f>
        <v>508.3</v>
      </c>
      <c r="H14" s="27"/>
      <c r="I14" s="23" t="s">
        <v>174</v>
      </c>
    </row>
    <row r="15" spans="1:9" ht="75" customHeight="1" x14ac:dyDescent="0.2">
      <c r="A15" s="24">
        <v>9</v>
      </c>
      <c r="B15" s="24">
        <v>0</v>
      </c>
      <c r="C15" s="24">
        <v>9</v>
      </c>
      <c r="D15" s="25">
        <v>45958.625</v>
      </c>
      <c r="E15" s="25">
        <v>45958.625</v>
      </c>
      <c r="F15" s="27">
        <v>54</v>
      </c>
      <c r="G15" s="27"/>
      <c r="H15" s="27"/>
      <c r="I15" s="23" t="s">
        <v>175</v>
      </c>
    </row>
    <row r="16" spans="1:9" ht="75" customHeight="1" x14ac:dyDescent="0.2">
      <c r="A16" s="24">
        <v>10</v>
      </c>
      <c r="B16" s="24">
        <v>0</v>
      </c>
      <c r="C16" s="24">
        <v>10</v>
      </c>
      <c r="D16" s="25">
        <v>45958.833333333336</v>
      </c>
      <c r="E16" s="25">
        <v>45958.833333333336</v>
      </c>
      <c r="F16" s="27">
        <v>44</v>
      </c>
      <c r="G16" s="27">
        <f>ROUND(9.29*25.4,1)</f>
        <v>236</v>
      </c>
      <c r="H16" s="27"/>
      <c r="I16" s="23" t="s">
        <v>176</v>
      </c>
    </row>
    <row r="17" spans="1:9" ht="75" customHeight="1" x14ac:dyDescent="0.2">
      <c r="A17" s="24">
        <v>11</v>
      </c>
      <c r="B17" s="24">
        <v>0</v>
      </c>
      <c r="C17" s="24">
        <v>11</v>
      </c>
      <c r="D17" s="25">
        <v>45958.916666666664</v>
      </c>
      <c r="E17" s="25">
        <v>45958.916666666664</v>
      </c>
      <c r="F17" s="27">
        <v>44</v>
      </c>
      <c r="G17" s="27">
        <f>ROUND(10.66*25.4,1)</f>
        <v>270.8</v>
      </c>
      <c r="H17" s="27"/>
      <c r="I17" s="23" t="s">
        <v>177</v>
      </c>
    </row>
    <row r="18" spans="1:9" ht="75" customHeight="1" x14ac:dyDescent="0.2">
      <c r="A18" s="24">
        <v>12</v>
      </c>
      <c r="B18" s="24">
        <v>0</v>
      </c>
      <c r="C18" s="24">
        <v>12</v>
      </c>
      <c r="D18" s="25">
        <v>45958.833333333336</v>
      </c>
      <c r="E18" s="25">
        <v>45958.833333333336</v>
      </c>
      <c r="F18" s="27">
        <v>25</v>
      </c>
      <c r="G18" s="27">
        <f>ROUND(13.16*25.4,1)</f>
        <v>334.3</v>
      </c>
      <c r="H18" s="27"/>
      <c r="I18" s="23" t="s">
        <v>178</v>
      </c>
    </row>
    <row r="19" spans="1:9" ht="75" customHeight="1" x14ac:dyDescent="0.2">
      <c r="A19" s="24">
        <v>13</v>
      </c>
      <c r="B19" s="24">
        <v>0</v>
      </c>
      <c r="C19" s="24">
        <v>13</v>
      </c>
      <c r="D19" s="25">
        <v>45958.75</v>
      </c>
      <c r="E19" s="25">
        <v>45958.75</v>
      </c>
      <c r="F19" s="27">
        <v>37</v>
      </c>
      <c r="G19" s="27">
        <f>ROUND(7.35*25.4,1)</f>
        <v>186.7</v>
      </c>
      <c r="H19" s="27"/>
      <c r="I19" s="23" t="s">
        <v>179</v>
      </c>
    </row>
    <row r="20" spans="1:9" ht="75" customHeight="1" x14ac:dyDescent="0.2">
      <c r="A20" s="24">
        <v>14</v>
      </c>
      <c r="B20" s="24">
        <v>0</v>
      </c>
      <c r="C20" s="24">
        <v>14</v>
      </c>
      <c r="D20" s="25">
        <v>45958.583333333336</v>
      </c>
      <c r="E20" s="25">
        <v>45958.583333333336</v>
      </c>
      <c r="F20" s="27">
        <v>10</v>
      </c>
      <c r="G20" s="27">
        <f>ROUND(22.32*25.4,1)</f>
        <v>566.9</v>
      </c>
      <c r="H20" s="27"/>
      <c r="I20" s="23" t="s">
        <v>180</v>
      </c>
    </row>
    <row r="21" spans="1:9" ht="75" customHeight="1" x14ac:dyDescent="0.2">
      <c r="A21" s="24">
        <v>15</v>
      </c>
      <c r="B21" s="24">
        <v>0</v>
      </c>
      <c r="C21" s="24">
        <v>15</v>
      </c>
      <c r="D21" s="25">
        <v>45958.333333333336</v>
      </c>
      <c r="E21" s="25">
        <v>45958.333333333336</v>
      </c>
      <c r="F21" s="27">
        <v>40</v>
      </c>
      <c r="G21" s="27"/>
      <c r="H21" s="27"/>
      <c r="I21" s="23" t="s">
        <v>181</v>
      </c>
    </row>
    <row r="22" spans="1:9" ht="75" customHeight="1" x14ac:dyDescent="0.2">
      <c r="A22" s="24">
        <v>16</v>
      </c>
      <c r="B22" s="24">
        <v>0</v>
      </c>
      <c r="C22" s="24">
        <v>16</v>
      </c>
      <c r="D22" s="25">
        <v>45958.791666666664</v>
      </c>
      <c r="E22" s="25">
        <v>45958.791666666664</v>
      </c>
      <c r="F22" s="27">
        <v>41</v>
      </c>
      <c r="G22" s="27"/>
      <c r="H22" s="27"/>
      <c r="I22" s="23" t="s">
        <v>182</v>
      </c>
    </row>
    <row r="23" spans="1:9" ht="75" customHeight="1" x14ac:dyDescent="0.2">
      <c r="A23" s="24">
        <v>17</v>
      </c>
      <c r="B23" s="24">
        <v>0</v>
      </c>
      <c r="C23" s="24">
        <v>17</v>
      </c>
      <c r="D23" s="25">
        <v>45959.104166666672</v>
      </c>
      <c r="E23" s="25">
        <v>45959.104166666672</v>
      </c>
      <c r="F23" s="27">
        <v>59</v>
      </c>
      <c r="G23" s="27">
        <f>ROUND(14.71*25.4,1)</f>
        <v>373.6</v>
      </c>
      <c r="H23" s="27"/>
      <c r="I23" s="23" t="s">
        <v>183</v>
      </c>
    </row>
    <row r="24" spans="1:9" ht="75" customHeight="1" x14ac:dyDescent="0.2">
      <c r="A24" s="24">
        <v>18</v>
      </c>
      <c r="B24" s="24">
        <v>0</v>
      </c>
      <c r="C24" s="24">
        <v>18</v>
      </c>
      <c r="D24" s="25">
        <v>45959.076388888883</v>
      </c>
      <c r="E24" s="25">
        <v>45959.076388888883</v>
      </c>
      <c r="F24" s="27">
        <v>70</v>
      </c>
      <c r="G24" s="27">
        <f>ROUND(13.2*25.4,1)</f>
        <v>335.3</v>
      </c>
      <c r="H24" s="27"/>
      <c r="I24" s="23" t="s">
        <v>184</v>
      </c>
    </row>
    <row r="25" spans="1:9" ht="75" customHeight="1" x14ac:dyDescent="0.2">
      <c r="A25" s="24">
        <v>19</v>
      </c>
      <c r="B25" s="24">
        <v>0</v>
      </c>
      <c r="C25" s="24">
        <v>19</v>
      </c>
      <c r="D25" s="25">
        <v>45959.32708333333</v>
      </c>
      <c r="E25" s="25">
        <v>45959.32708333333</v>
      </c>
      <c r="F25" s="27">
        <v>51</v>
      </c>
      <c r="G25" s="27">
        <f>ROUND(6.5*25.4,1)</f>
        <v>165.1</v>
      </c>
      <c r="H25" s="27"/>
      <c r="I25" s="23" t="s">
        <v>185</v>
      </c>
    </row>
    <row r="26" spans="1:9" ht="75" customHeight="1" x14ac:dyDescent="0.2">
      <c r="A26" s="24">
        <v>20</v>
      </c>
      <c r="B26" s="24">
        <v>0</v>
      </c>
      <c r="C26" s="24">
        <v>20</v>
      </c>
      <c r="D26" s="25">
        <v>45959.489583333336</v>
      </c>
      <c r="E26" s="25">
        <v>45959.489583333336</v>
      </c>
      <c r="F26" s="27">
        <v>62</v>
      </c>
      <c r="G26" s="27">
        <f>ROUND(10.84*25.4,1)</f>
        <v>275.3</v>
      </c>
      <c r="H26" s="27"/>
      <c r="I26" s="23" t="s">
        <v>186</v>
      </c>
    </row>
    <row r="27" spans="1:9" ht="75" customHeight="1" x14ac:dyDescent="0.2">
      <c r="A27" s="24">
        <v>21</v>
      </c>
      <c r="B27" s="24">
        <v>0</v>
      </c>
      <c r="C27" s="24">
        <v>21</v>
      </c>
      <c r="D27" s="25">
        <v>45959.083333333336</v>
      </c>
      <c r="E27" s="25">
        <v>45959.083333333336</v>
      </c>
      <c r="F27" s="27">
        <v>47</v>
      </c>
      <c r="G27" s="27">
        <f>ROUND(4.04*25.4,1)</f>
        <v>102.6</v>
      </c>
      <c r="H27" s="27"/>
      <c r="I27" s="23" t="s">
        <v>187</v>
      </c>
    </row>
    <row r="28" spans="1:9" ht="75" customHeight="1" x14ac:dyDescent="0.2">
      <c r="A28" s="24">
        <v>22</v>
      </c>
      <c r="B28" s="24">
        <v>0</v>
      </c>
      <c r="C28" s="24">
        <v>22</v>
      </c>
      <c r="D28" s="25">
        <v>45959.853472222225</v>
      </c>
      <c r="E28" s="25">
        <v>45959.853472222225</v>
      </c>
      <c r="F28" s="27">
        <v>66</v>
      </c>
      <c r="G28" s="27"/>
      <c r="H28" s="27"/>
      <c r="I28" s="23" t="s">
        <v>188</v>
      </c>
    </row>
    <row r="29" spans="1:9" ht="75" customHeight="1" x14ac:dyDescent="0.2">
      <c r="A29" s="24">
        <v>23</v>
      </c>
      <c r="B29" s="24">
        <v>0</v>
      </c>
      <c r="C29" s="24">
        <v>23</v>
      </c>
      <c r="D29" s="25">
        <v>45960.006249999999</v>
      </c>
      <c r="E29" s="25">
        <v>45960.006249999999</v>
      </c>
      <c r="F29" s="27">
        <v>45</v>
      </c>
      <c r="G29" s="27"/>
      <c r="H29" s="27"/>
      <c r="I29" s="23" t="s">
        <v>189</v>
      </c>
    </row>
    <row r="30" spans="1:9" ht="75" customHeight="1" x14ac:dyDescent="0.2">
      <c r="A30" s="24">
        <v>24</v>
      </c>
      <c r="B30" s="24">
        <v>0</v>
      </c>
      <c r="C30" s="24">
        <v>24</v>
      </c>
      <c r="D30" s="25">
        <v>45959.870833333334</v>
      </c>
      <c r="E30" s="25">
        <v>45959.870833333334</v>
      </c>
      <c r="F30" s="27">
        <v>35</v>
      </c>
      <c r="G30" s="27"/>
      <c r="H30" s="27"/>
      <c r="I30" s="23" t="s">
        <v>190</v>
      </c>
    </row>
    <row r="31" spans="1:9" ht="75" customHeight="1" x14ac:dyDescent="0.2">
      <c r="A31" s="24">
        <v>25</v>
      </c>
      <c r="B31" s="24">
        <v>0</v>
      </c>
      <c r="C31" s="24">
        <v>25</v>
      </c>
      <c r="D31" s="25"/>
      <c r="E31" s="25"/>
      <c r="F31" s="27"/>
      <c r="G31" s="27">
        <v>198</v>
      </c>
      <c r="H31" s="27"/>
      <c r="I31" s="23" t="s">
        <v>191</v>
      </c>
    </row>
    <row r="32" spans="1:9" ht="75" customHeight="1" x14ac:dyDescent="0.2">
      <c r="A32" s="24">
        <v>26</v>
      </c>
      <c r="B32" s="24">
        <v>0</v>
      </c>
      <c r="C32" s="24">
        <v>26</v>
      </c>
      <c r="D32" s="25">
        <v>45961.163194444445</v>
      </c>
      <c r="E32" s="25">
        <v>45961.163194444445</v>
      </c>
      <c r="F32" s="27">
        <v>43</v>
      </c>
      <c r="G32" s="27"/>
      <c r="H32" s="27"/>
      <c r="I32" s="23" t="s">
        <v>192</v>
      </c>
    </row>
    <row r="33" spans="1:9" ht="75" customHeight="1" x14ac:dyDescent="0.2">
      <c r="A33" s="24">
        <v>27</v>
      </c>
      <c r="B33" s="24">
        <v>0</v>
      </c>
      <c r="C33" s="24">
        <v>27</v>
      </c>
      <c r="D33" s="25">
        <v>45961.15625</v>
      </c>
      <c r="E33" s="25">
        <v>45961.15625</v>
      </c>
      <c r="F33" s="27">
        <v>68</v>
      </c>
      <c r="G33" s="27"/>
      <c r="H33" s="27"/>
      <c r="I33" s="23" t="s">
        <v>193</v>
      </c>
    </row>
    <row r="34" spans="1:9" ht="75" customHeight="1" x14ac:dyDescent="0.2">
      <c r="A34" s="24">
        <v>28</v>
      </c>
      <c r="B34" s="24">
        <v>0</v>
      </c>
      <c r="C34" s="24">
        <v>28</v>
      </c>
      <c r="D34" s="25"/>
      <c r="E34" s="25"/>
      <c r="F34" s="27"/>
      <c r="G34" s="27">
        <v>893</v>
      </c>
      <c r="H34" s="27"/>
      <c r="I34" s="23" t="s">
        <v>194</v>
      </c>
    </row>
    <row r="35" spans="1:9" ht="75" customHeight="1" x14ac:dyDescent="0.2">
      <c r="A35" s="24">
        <v>29</v>
      </c>
      <c r="B35" s="24">
        <v>0</v>
      </c>
      <c r="C35" s="24">
        <v>29</v>
      </c>
      <c r="D35" s="25"/>
      <c r="E35" s="25"/>
      <c r="F35" s="27"/>
      <c r="G35" s="27">
        <v>856.5</v>
      </c>
      <c r="H35" s="27"/>
      <c r="I35" s="23" t="s">
        <v>195</v>
      </c>
    </row>
    <row r="36" spans="1:9" ht="75" customHeight="1" x14ac:dyDescent="0.2">
      <c r="A36" s="24">
        <v>30</v>
      </c>
      <c r="B36" s="24">
        <v>0</v>
      </c>
      <c r="C36" s="24">
        <v>30</v>
      </c>
      <c r="D36" s="25"/>
      <c r="E36" s="25"/>
      <c r="F36" s="27"/>
      <c r="G36" s="27">
        <v>835.6</v>
      </c>
      <c r="H36" s="27"/>
      <c r="I36" s="23" t="s">
        <v>196</v>
      </c>
    </row>
    <row r="37" spans="1:9" ht="75" customHeight="1" x14ac:dyDescent="0.2">
      <c r="A37" s="24">
        <v>31</v>
      </c>
      <c r="B37" s="24">
        <v>0</v>
      </c>
      <c r="C37" s="24">
        <v>31</v>
      </c>
      <c r="D37" s="25"/>
      <c r="E37" s="25"/>
      <c r="F37" s="27"/>
      <c r="G37" s="27">
        <v>737.2</v>
      </c>
      <c r="H37" s="27"/>
      <c r="I37" s="23" t="s">
        <v>197</v>
      </c>
    </row>
    <row r="38" spans="1:9" ht="75" customHeight="1" x14ac:dyDescent="0.2">
      <c r="A38" s="24">
        <v>32</v>
      </c>
      <c r="B38" s="24">
        <v>0</v>
      </c>
      <c r="C38" s="24">
        <v>32</v>
      </c>
      <c r="D38" s="25"/>
      <c r="E38" s="25"/>
      <c r="F38" s="27"/>
      <c r="G38" s="27">
        <v>507.4</v>
      </c>
      <c r="H38" s="27"/>
      <c r="I38" s="23" t="s">
        <v>198</v>
      </c>
    </row>
    <row r="39" spans="1:9" ht="75" customHeight="1" x14ac:dyDescent="0.2">
      <c r="A39" s="24">
        <v>33</v>
      </c>
      <c r="B39" s="24">
        <v>0</v>
      </c>
      <c r="C39" s="24">
        <v>33</v>
      </c>
      <c r="D39" s="25"/>
      <c r="E39" s="25"/>
      <c r="F39" s="27"/>
      <c r="G39" s="27">
        <v>453.1</v>
      </c>
      <c r="H39" s="27"/>
      <c r="I39" s="23" t="s">
        <v>199</v>
      </c>
    </row>
    <row r="40" spans="1:9" ht="75" customHeight="1" x14ac:dyDescent="0.2">
      <c r="A40" s="24">
        <v>34</v>
      </c>
      <c r="B40" s="24">
        <v>0</v>
      </c>
      <c r="C40" s="24">
        <v>34</v>
      </c>
      <c r="D40" s="25"/>
      <c r="E40" s="25"/>
      <c r="F40" s="27"/>
      <c r="G40" s="27"/>
      <c r="H40" s="27"/>
      <c r="I40" s="23" t="s">
        <v>200</v>
      </c>
    </row>
    <row r="41" spans="1:9" ht="75" customHeight="1" x14ac:dyDescent="0.2">
      <c r="A41" s="24">
        <v>35</v>
      </c>
      <c r="B41" s="24">
        <v>1</v>
      </c>
      <c r="C41" s="24">
        <v>35</v>
      </c>
      <c r="D41" s="25">
        <v>44831.354166666664</v>
      </c>
      <c r="E41" s="25">
        <v>44831.583333333336</v>
      </c>
      <c r="F41" s="27">
        <f>AVERAGE(best_track_ref_Ian!E23:E24)</f>
        <v>105</v>
      </c>
      <c r="G41" s="27">
        <v>338</v>
      </c>
      <c r="H41" s="27"/>
      <c r="I41" s="23" t="s">
        <v>211</v>
      </c>
    </row>
    <row r="42" spans="1:9" ht="75" customHeight="1" x14ac:dyDescent="0.2">
      <c r="A42" s="24">
        <v>36</v>
      </c>
      <c r="B42" s="24">
        <v>1</v>
      </c>
      <c r="C42" s="24">
        <v>36</v>
      </c>
      <c r="D42" s="25">
        <v>44832.083333333336</v>
      </c>
      <c r="E42" s="25">
        <v>44832.083333333336</v>
      </c>
      <c r="F42" s="27">
        <f>AVERAGE(best_track_ref_Ian!E27:E27)</f>
        <v>110</v>
      </c>
      <c r="G42" s="27"/>
      <c r="H42" s="27"/>
      <c r="I42" s="23" t="s">
        <v>212</v>
      </c>
    </row>
    <row r="43" spans="1:9" ht="75" customHeight="1" x14ac:dyDescent="0.2">
      <c r="A43" s="24">
        <v>37</v>
      </c>
      <c r="B43" s="24">
        <v>1</v>
      </c>
      <c r="C43" s="24">
        <v>37</v>
      </c>
      <c r="D43" s="25">
        <v>44832.795138888891</v>
      </c>
      <c r="E43" s="25">
        <v>44832.857638888891</v>
      </c>
      <c r="F43" s="27">
        <f>AVERAGE(best_track_ref_Ian!E31:E32)</f>
        <v>127.5</v>
      </c>
      <c r="G43" s="27"/>
      <c r="H43" s="27"/>
      <c r="I43" s="23" t="s">
        <v>213</v>
      </c>
    </row>
    <row r="44" spans="1:9" ht="75" customHeight="1" x14ac:dyDescent="0.2">
      <c r="A44" s="24">
        <v>38</v>
      </c>
      <c r="B44" s="24">
        <v>1</v>
      </c>
      <c r="C44" s="24">
        <v>38</v>
      </c>
      <c r="D44" s="25">
        <v>44832.857638888891</v>
      </c>
      <c r="E44" s="25">
        <v>44833.5</v>
      </c>
      <c r="F44" s="27">
        <f>AVERAGE(best_track_ref_Ian!E32:E35)</f>
        <v>87.5</v>
      </c>
      <c r="G44" s="27"/>
      <c r="H44" s="27"/>
      <c r="I44" s="23" t="s">
        <v>214</v>
      </c>
    </row>
    <row r="45" spans="1:9" ht="75" customHeight="1" x14ac:dyDescent="0.2">
      <c r="A45" s="24">
        <v>39</v>
      </c>
      <c r="B45" s="24">
        <v>1</v>
      </c>
      <c r="C45" s="24">
        <v>39</v>
      </c>
      <c r="D45" s="25">
        <v>44834.753472222219</v>
      </c>
      <c r="E45" s="25">
        <v>44835</v>
      </c>
      <c r="F45" s="27">
        <f>AVERAGE(best_track_ref_Ian!E41:E42)</f>
        <v>60</v>
      </c>
      <c r="G45" s="27"/>
      <c r="H45" s="27"/>
      <c r="I45" s="23" t="s">
        <v>215</v>
      </c>
    </row>
    <row r="46" spans="1:9" ht="75" customHeight="1" x14ac:dyDescent="0.2">
      <c r="A46" s="24">
        <v>40</v>
      </c>
      <c r="B46" s="24">
        <v>1</v>
      </c>
      <c r="C46" s="24">
        <v>40</v>
      </c>
      <c r="D46" s="25">
        <v>44831.329861111109</v>
      </c>
      <c r="E46" s="25">
        <v>44831.329861111109</v>
      </c>
      <c r="F46" s="27">
        <v>90</v>
      </c>
      <c r="G46" s="27"/>
      <c r="H46" s="27"/>
      <c r="I46" s="23" t="s">
        <v>216</v>
      </c>
    </row>
    <row r="47" spans="1:9" ht="75" customHeight="1" x14ac:dyDescent="0.2">
      <c r="A47" s="24">
        <v>41</v>
      </c>
      <c r="B47" s="24">
        <v>1</v>
      </c>
      <c r="C47" s="24">
        <v>41</v>
      </c>
      <c r="D47" s="25">
        <v>44831.466666666667</v>
      </c>
      <c r="E47" s="25">
        <v>44831.466666666667</v>
      </c>
      <c r="F47" s="27">
        <v>89</v>
      </c>
      <c r="G47" s="27"/>
      <c r="H47" s="27"/>
      <c r="I47" s="23" t="s">
        <v>217</v>
      </c>
    </row>
    <row r="48" spans="1:9" ht="75" customHeight="1" x14ac:dyDescent="0.2">
      <c r="A48" s="24">
        <v>42</v>
      </c>
      <c r="B48" s="24">
        <v>1</v>
      </c>
      <c r="C48" s="24">
        <v>42</v>
      </c>
      <c r="D48" s="25">
        <v>44832.832638888889</v>
      </c>
      <c r="E48" s="25">
        <v>44832.832638888889</v>
      </c>
      <c r="F48" s="27">
        <v>78</v>
      </c>
      <c r="G48" s="27"/>
      <c r="H48" s="27"/>
      <c r="I48" s="23" t="s">
        <v>218</v>
      </c>
    </row>
    <row r="49" spans="1:9" ht="75" customHeight="1" x14ac:dyDescent="0.2">
      <c r="A49" s="24">
        <v>43</v>
      </c>
      <c r="B49" s="24">
        <v>1</v>
      </c>
      <c r="C49" s="24">
        <v>43</v>
      </c>
      <c r="D49" s="25">
        <v>44832.850694444445</v>
      </c>
      <c r="E49" s="25">
        <v>44832.850694444445</v>
      </c>
      <c r="F49" s="27">
        <v>76</v>
      </c>
      <c r="G49" s="27"/>
      <c r="H49" s="27"/>
      <c r="I49" s="23" t="s">
        <v>219</v>
      </c>
    </row>
    <row r="50" spans="1:9" ht="75" customHeight="1" x14ac:dyDescent="0.2">
      <c r="A50" s="24">
        <v>44</v>
      </c>
      <c r="B50" s="24">
        <v>1</v>
      </c>
      <c r="C50" s="24">
        <v>44</v>
      </c>
      <c r="D50" s="25">
        <v>44833.359027777777</v>
      </c>
      <c r="E50" s="25">
        <v>44833.359027777777</v>
      </c>
      <c r="F50" s="27">
        <v>63</v>
      </c>
      <c r="G50" s="27"/>
      <c r="H50" s="27"/>
      <c r="I50" s="23" t="s">
        <v>220</v>
      </c>
    </row>
    <row r="51" spans="1:9" ht="75" customHeight="1" x14ac:dyDescent="0.2">
      <c r="A51" s="24">
        <v>45</v>
      </c>
      <c r="B51" s="24">
        <v>1</v>
      </c>
      <c r="C51" s="24">
        <v>45</v>
      </c>
      <c r="D51" s="25">
        <v>44832.836805555555</v>
      </c>
      <c r="E51" s="25">
        <v>44832.836805555555</v>
      </c>
      <c r="F51" s="27">
        <v>35</v>
      </c>
      <c r="G51" s="27"/>
      <c r="H51" s="27"/>
      <c r="I51" s="23" t="s">
        <v>221</v>
      </c>
    </row>
    <row r="52" spans="1:9" ht="75" customHeight="1" x14ac:dyDescent="0.2">
      <c r="A52" s="24">
        <v>46</v>
      </c>
      <c r="B52" s="24">
        <v>1</v>
      </c>
      <c r="C52" s="24">
        <v>46</v>
      </c>
      <c r="D52" s="25">
        <v>44834.745138888888</v>
      </c>
      <c r="E52" s="25">
        <v>44834.745138888888</v>
      </c>
      <c r="F52" s="27">
        <v>69</v>
      </c>
      <c r="G52" s="27"/>
      <c r="H52" s="27"/>
      <c r="I52" s="23" t="s">
        <v>222</v>
      </c>
    </row>
    <row r="53" spans="1:9" ht="75" customHeight="1" x14ac:dyDescent="0.2">
      <c r="A53" s="24">
        <v>47</v>
      </c>
      <c r="B53" s="24">
        <v>1</v>
      </c>
      <c r="C53" s="24">
        <v>47</v>
      </c>
      <c r="D53" s="25"/>
      <c r="E53" s="25"/>
      <c r="F53" s="27"/>
      <c r="G53" s="27">
        <f>ROUND(26.95*25.4,1)</f>
        <v>684.5</v>
      </c>
      <c r="H53" s="27"/>
      <c r="I53" s="23" t="s">
        <v>223</v>
      </c>
    </row>
    <row r="54" spans="1:9" ht="75" customHeight="1" x14ac:dyDescent="0.2">
      <c r="A54" s="24">
        <v>48</v>
      </c>
      <c r="B54" s="24">
        <v>1</v>
      </c>
      <c r="C54" s="24">
        <v>48</v>
      </c>
      <c r="D54" s="25"/>
      <c r="E54" s="25"/>
      <c r="F54" s="27"/>
      <c r="G54" s="27">
        <f>ROUND(21.49*25.4,1)</f>
        <v>545.79999999999995</v>
      </c>
      <c r="H54" s="27"/>
      <c r="I54" s="23" t="s">
        <v>224</v>
      </c>
    </row>
    <row r="55" spans="1:9" ht="75" customHeight="1" x14ac:dyDescent="0.2">
      <c r="A55" s="24">
        <v>49</v>
      </c>
      <c r="B55" s="24">
        <v>1</v>
      </c>
      <c r="C55" s="24">
        <v>49</v>
      </c>
      <c r="D55" s="25"/>
      <c r="E55" s="25"/>
      <c r="F55" s="27"/>
      <c r="G55" s="27">
        <f>ROUND(10.75*25.4,1)</f>
        <v>273.10000000000002</v>
      </c>
      <c r="H55" s="27"/>
      <c r="I55" s="23" t="s">
        <v>225</v>
      </c>
    </row>
    <row r="56" spans="1:9" ht="75" customHeight="1" x14ac:dyDescent="0.2">
      <c r="A56" s="24">
        <v>50</v>
      </c>
      <c r="B56" s="24">
        <v>1</v>
      </c>
      <c r="C56" s="24">
        <v>50</v>
      </c>
      <c r="D56" s="25"/>
      <c r="E56" s="25"/>
      <c r="F56" s="27"/>
      <c r="G56" s="27"/>
      <c r="H56" s="27"/>
      <c r="I56" s="23" t="s">
        <v>226</v>
      </c>
    </row>
    <row r="57" spans="1:9" ht="75" customHeight="1" x14ac:dyDescent="0.2">
      <c r="A57" s="24">
        <v>51</v>
      </c>
      <c r="B57" s="24">
        <v>1</v>
      </c>
      <c r="C57" s="24">
        <v>51</v>
      </c>
      <c r="D57" s="25"/>
      <c r="E57" s="25"/>
      <c r="F57" s="27"/>
      <c r="G57" s="27"/>
      <c r="H57" s="27"/>
      <c r="I57" s="23" t="s">
        <v>227</v>
      </c>
    </row>
    <row r="58" spans="1:9" ht="75" customHeight="1" x14ac:dyDescent="0.2">
      <c r="A58" s="24">
        <v>52</v>
      </c>
      <c r="B58" s="24">
        <v>1</v>
      </c>
      <c r="C58" s="24">
        <v>52</v>
      </c>
      <c r="D58" s="25">
        <v>44831.458333333336</v>
      </c>
      <c r="E58" s="25">
        <v>44831.458333333336</v>
      </c>
      <c r="F58" s="27">
        <v>45</v>
      </c>
      <c r="G58" s="27"/>
      <c r="H58" s="27"/>
      <c r="I58" s="23" t="s">
        <v>228</v>
      </c>
    </row>
    <row r="59" spans="1:9" ht="75" customHeight="1" x14ac:dyDescent="0.2">
      <c r="A59" s="24">
        <v>53</v>
      </c>
      <c r="B59" s="24">
        <v>1</v>
      </c>
      <c r="C59" s="24">
        <v>53</v>
      </c>
      <c r="D59" s="25">
        <v>44831.791666666664</v>
      </c>
      <c r="E59" s="25">
        <v>44831.791666666664</v>
      </c>
      <c r="F59" s="27">
        <v>45</v>
      </c>
      <c r="G59" s="27"/>
      <c r="H59" s="27"/>
      <c r="I59" s="23" t="s">
        <v>229</v>
      </c>
    </row>
    <row r="60" spans="1:9" ht="75" customHeight="1" x14ac:dyDescent="0.2">
      <c r="A60" s="24">
        <v>54</v>
      </c>
      <c r="B60" s="24">
        <v>1</v>
      </c>
      <c r="C60" s="24">
        <v>54</v>
      </c>
      <c r="D60" s="25">
        <v>44831.833333333336</v>
      </c>
      <c r="E60" s="25">
        <v>44831.833333333336</v>
      </c>
      <c r="F60" s="27">
        <v>45</v>
      </c>
      <c r="G60" s="27"/>
      <c r="H60" s="27"/>
      <c r="I60" s="23" t="s">
        <v>230</v>
      </c>
    </row>
    <row r="61" spans="1:9" ht="75" customHeight="1" x14ac:dyDescent="0.2">
      <c r="A61" s="24">
        <v>55</v>
      </c>
      <c r="B61" s="24">
        <v>1</v>
      </c>
      <c r="C61" s="24">
        <v>54</v>
      </c>
      <c r="D61" s="25">
        <v>44831.875</v>
      </c>
      <c r="E61" s="25">
        <v>44831.875</v>
      </c>
      <c r="F61" s="27">
        <v>55</v>
      </c>
      <c r="G61" s="27"/>
      <c r="H61" s="27"/>
      <c r="I61" s="23" t="s">
        <v>231</v>
      </c>
    </row>
    <row r="62" spans="1:9" ht="75" customHeight="1" x14ac:dyDescent="0.2">
      <c r="A62" s="24">
        <v>56</v>
      </c>
      <c r="B62" s="24">
        <v>1</v>
      </c>
      <c r="C62" s="24">
        <v>55</v>
      </c>
      <c r="D62" s="25">
        <v>44831.875</v>
      </c>
      <c r="E62" s="25">
        <v>44831.875</v>
      </c>
      <c r="F62" s="27">
        <v>35</v>
      </c>
      <c r="G62" s="27"/>
      <c r="H62" s="27"/>
      <c r="I62" s="23" t="s">
        <v>232</v>
      </c>
    </row>
    <row r="63" spans="1:9" ht="75" customHeight="1" x14ac:dyDescent="0.2">
      <c r="A63" s="24">
        <v>57</v>
      </c>
      <c r="B63" s="24">
        <v>1</v>
      </c>
      <c r="C63" s="24">
        <v>56</v>
      </c>
      <c r="D63" s="25">
        <v>44831.916666666664</v>
      </c>
      <c r="E63" s="25">
        <v>44831.916666666664</v>
      </c>
      <c r="F63" s="27">
        <v>39</v>
      </c>
      <c r="G63" s="27"/>
      <c r="H63" s="27"/>
      <c r="I63" s="23" t="s">
        <v>233</v>
      </c>
    </row>
    <row r="64" spans="1:9" ht="75" customHeight="1" x14ac:dyDescent="0.2">
      <c r="A64" s="24">
        <v>58</v>
      </c>
      <c r="B64" s="24">
        <v>1</v>
      </c>
      <c r="C64" s="24">
        <v>57</v>
      </c>
      <c r="D64" s="25">
        <v>44831.958333333336</v>
      </c>
      <c r="E64" s="25">
        <v>44831.958333333336</v>
      </c>
      <c r="F64" s="27">
        <v>38</v>
      </c>
      <c r="G64" s="27"/>
      <c r="H64" s="27"/>
      <c r="I64" s="23" t="s">
        <v>234</v>
      </c>
    </row>
    <row r="65" spans="1:9" ht="75" customHeight="1" x14ac:dyDescent="0.2">
      <c r="A65" s="24">
        <v>59</v>
      </c>
      <c r="B65" s="24">
        <v>1</v>
      </c>
      <c r="C65" s="24">
        <v>55</v>
      </c>
      <c r="D65" s="25">
        <v>44832</v>
      </c>
      <c r="E65" s="25">
        <v>44832</v>
      </c>
      <c r="F65" s="27">
        <v>50</v>
      </c>
      <c r="G65" s="27"/>
      <c r="H65" s="27"/>
      <c r="I65" s="23" t="s">
        <v>235</v>
      </c>
    </row>
    <row r="66" spans="1:9" ht="75" customHeight="1" x14ac:dyDescent="0.2">
      <c r="A66" s="24">
        <v>60</v>
      </c>
      <c r="B66" s="24">
        <v>1</v>
      </c>
      <c r="C66" s="24">
        <v>58</v>
      </c>
      <c r="D66" s="25">
        <v>44832.083333333336</v>
      </c>
      <c r="E66" s="25">
        <v>44832.083333333336</v>
      </c>
      <c r="F66" s="27">
        <v>38</v>
      </c>
      <c r="G66" s="27"/>
      <c r="H66" s="27"/>
      <c r="I66" s="23" t="s">
        <v>236</v>
      </c>
    </row>
    <row r="67" spans="1:9" ht="75" customHeight="1" x14ac:dyDescent="0.2">
      <c r="A67" s="24">
        <v>61</v>
      </c>
      <c r="B67" s="24">
        <v>1</v>
      </c>
      <c r="C67" s="24">
        <v>54</v>
      </c>
      <c r="D67" s="25">
        <v>44832.125</v>
      </c>
      <c r="E67" s="25">
        <v>44832.125</v>
      </c>
      <c r="F67" s="27">
        <v>45</v>
      </c>
      <c r="G67" s="27"/>
      <c r="H67" s="27"/>
      <c r="I67" s="23" t="s">
        <v>237</v>
      </c>
    </row>
    <row r="68" spans="1:9" ht="75" customHeight="1" x14ac:dyDescent="0.2">
      <c r="A68" s="24">
        <v>62</v>
      </c>
      <c r="B68" s="24">
        <v>1</v>
      </c>
      <c r="C68" s="24">
        <v>59</v>
      </c>
      <c r="D68" s="25">
        <v>44832.125</v>
      </c>
      <c r="E68" s="25">
        <v>44832.125</v>
      </c>
      <c r="F68" s="27">
        <v>42</v>
      </c>
      <c r="G68" s="27"/>
      <c r="H68" s="27"/>
      <c r="I68" s="23" t="s">
        <v>238</v>
      </c>
    </row>
    <row r="69" spans="1:9" ht="75" customHeight="1" x14ac:dyDescent="0.2">
      <c r="A69" s="24">
        <v>63</v>
      </c>
      <c r="B69" s="24">
        <v>1</v>
      </c>
      <c r="C69" s="24">
        <v>60</v>
      </c>
      <c r="D69" s="25">
        <v>44832.25</v>
      </c>
      <c r="E69" s="25">
        <v>44832.25</v>
      </c>
      <c r="F69" s="27">
        <v>42</v>
      </c>
      <c r="G69" s="27"/>
      <c r="H69" s="27"/>
      <c r="I69" s="23" t="s">
        <v>239</v>
      </c>
    </row>
    <row r="70" spans="1:9" ht="75" customHeight="1" x14ac:dyDescent="0.2">
      <c r="A70" s="24">
        <v>64</v>
      </c>
      <c r="B70" s="24">
        <v>1</v>
      </c>
      <c r="C70" s="24">
        <v>61</v>
      </c>
      <c r="D70" s="25">
        <v>44832.416666666664</v>
      </c>
      <c r="E70" s="25">
        <v>44832.416666666664</v>
      </c>
      <c r="F70" s="27">
        <v>35</v>
      </c>
      <c r="G70" s="27"/>
      <c r="H70" s="27"/>
      <c r="I70" s="23" t="s">
        <v>240</v>
      </c>
    </row>
    <row r="71" spans="1:9" ht="75" customHeight="1" x14ac:dyDescent="0.2">
      <c r="A71" s="24">
        <v>65</v>
      </c>
      <c r="B71" s="24">
        <v>1</v>
      </c>
      <c r="C71" s="24">
        <v>62</v>
      </c>
      <c r="D71" s="25">
        <v>44832.5</v>
      </c>
      <c r="E71" s="25">
        <v>44832.5</v>
      </c>
      <c r="F71" s="27">
        <v>35</v>
      </c>
      <c r="G71" s="27"/>
      <c r="H71" s="27"/>
      <c r="I71" s="23" t="s">
        <v>241</v>
      </c>
    </row>
    <row r="72" spans="1:9" ht="75" customHeight="1" x14ac:dyDescent="0.2">
      <c r="A72" s="24">
        <v>66</v>
      </c>
      <c r="B72" s="24">
        <v>1</v>
      </c>
      <c r="C72" s="24">
        <v>63</v>
      </c>
      <c r="D72" s="25">
        <v>44832.541666666664</v>
      </c>
      <c r="E72" s="25">
        <v>44832.541666666664</v>
      </c>
      <c r="F72" s="27">
        <v>45</v>
      </c>
      <c r="G72" s="27"/>
      <c r="H72" s="27"/>
      <c r="I72" s="23" t="s">
        <v>242</v>
      </c>
    </row>
    <row r="73" spans="1:9" ht="75" customHeight="1" x14ac:dyDescent="0.2">
      <c r="A73" s="24">
        <v>67</v>
      </c>
      <c r="B73" s="24">
        <v>1</v>
      </c>
      <c r="C73" s="24">
        <v>64</v>
      </c>
      <c r="D73" s="25">
        <v>44832.625</v>
      </c>
      <c r="E73" s="25">
        <v>44832.625</v>
      </c>
      <c r="F73" s="27">
        <v>38</v>
      </c>
      <c r="G73" s="27"/>
      <c r="H73" s="27"/>
      <c r="I73" s="23" t="s">
        <v>243</v>
      </c>
    </row>
    <row r="74" spans="1:9" ht="75" customHeight="1" x14ac:dyDescent="0.2">
      <c r="A74" s="24">
        <v>68</v>
      </c>
      <c r="B74" s="24">
        <v>1</v>
      </c>
      <c r="C74" s="24">
        <v>65</v>
      </c>
      <c r="D74" s="25">
        <v>44832.625</v>
      </c>
      <c r="E74" s="25">
        <v>44832.625</v>
      </c>
      <c r="F74" s="27">
        <v>35</v>
      </c>
      <c r="G74" s="27"/>
      <c r="H74" s="27"/>
      <c r="I74" s="23" t="s">
        <v>244</v>
      </c>
    </row>
    <row r="75" spans="1:9" ht="75" customHeight="1" x14ac:dyDescent="0.2">
      <c r="A75" s="24">
        <v>69</v>
      </c>
      <c r="B75" s="24">
        <v>1</v>
      </c>
      <c r="C75" s="24">
        <v>66</v>
      </c>
      <c r="D75" s="25">
        <v>44832.666666666664</v>
      </c>
      <c r="E75" s="25">
        <v>44832.666666666664</v>
      </c>
      <c r="F75" s="27">
        <v>36</v>
      </c>
      <c r="G75" s="27"/>
      <c r="H75" s="27"/>
      <c r="I75" s="23" t="s">
        <v>245</v>
      </c>
    </row>
    <row r="76" spans="1:9" ht="75" customHeight="1" x14ac:dyDescent="0.2">
      <c r="A76" s="24">
        <v>70</v>
      </c>
      <c r="B76" s="24">
        <v>1</v>
      </c>
      <c r="C76" s="24">
        <v>67</v>
      </c>
      <c r="D76" s="25">
        <v>44832.708333333336</v>
      </c>
      <c r="E76" s="25">
        <v>44832.708333333336</v>
      </c>
      <c r="F76" s="27">
        <v>35</v>
      </c>
      <c r="G76" s="27"/>
      <c r="H76" s="27"/>
      <c r="I76" s="23" t="s">
        <v>246</v>
      </c>
    </row>
    <row r="77" spans="1:9" ht="75" customHeight="1" x14ac:dyDescent="0.2">
      <c r="A77" s="24">
        <v>71</v>
      </c>
      <c r="B77" s="24">
        <v>1</v>
      </c>
      <c r="C77" s="24">
        <v>68</v>
      </c>
      <c r="D77" s="25">
        <v>44832.75</v>
      </c>
      <c r="E77" s="25">
        <v>44832.75</v>
      </c>
      <c r="F77" s="27">
        <v>35</v>
      </c>
      <c r="G77" s="27"/>
      <c r="H77" s="27"/>
      <c r="I77" s="23" t="s">
        <v>247</v>
      </c>
    </row>
    <row r="78" spans="1:9" ht="75" customHeight="1" x14ac:dyDescent="0.2">
      <c r="A78" s="24">
        <v>72</v>
      </c>
      <c r="B78" s="24">
        <v>1</v>
      </c>
      <c r="C78" s="24">
        <v>69</v>
      </c>
      <c r="D78" s="25">
        <v>44832.875</v>
      </c>
      <c r="E78" s="25">
        <v>44832.875</v>
      </c>
      <c r="F78" s="27">
        <v>35</v>
      </c>
      <c r="G78" s="27"/>
      <c r="H78" s="27"/>
      <c r="I78" s="23" t="s">
        <v>248</v>
      </c>
    </row>
    <row r="79" spans="1:9" ht="75" customHeight="1" x14ac:dyDescent="0.2">
      <c r="A79" s="24">
        <v>73</v>
      </c>
      <c r="B79" s="24">
        <v>1</v>
      </c>
      <c r="C79" s="24">
        <v>70</v>
      </c>
      <c r="D79" s="25">
        <v>44832.916666666664</v>
      </c>
      <c r="E79" s="25">
        <v>44832.916666666664</v>
      </c>
      <c r="F79" s="27">
        <v>42</v>
      </c>
      <c r="G79" s="27"/>
      <c r="H79" s="27"/>
      <c r="I79" s="23" t="s">
        <v>249</v>
      </c>
    </row>
    <row r="80" spans="1:9" ht="75" customHeight="1" x14ac:dyDescent="0.2">
      <c r="A80" s="24">
        <v>74</v>
      </c>
      <c r="B80" s="24">
        <v>1</v>
      </c>
      <c r="C80" s="24">
        <v>69</v>
      </c>
      <c r="D80" s="25">
        <v>44833</v>
      </c>
      <c r="E80" s="25">
        <v>44833</v>
      </c>
      <c r="F80" s="27">
        <v>41</v>
      </c>
      <c r="G80" s="27"/>
      <c r="H80" s="27"/>
      <c r="I80" s="23" t="s">
        <v>250</v>
      </c>
    </row>
    <row r="81" spans="1:9" ht="75" customHeight="1" x14ac:dyDescent="0.2">
      <c r="A81" s="24">
        <v>75</v>
      </c>
      <c r="B81" s="24">
        <v>1</v>
      </c>
      <c r="C81" s="24">
        <v>71</v>
      </c>
      <c r="D81" s="25">
        <v>44833.708333333336</v>
      </c>
      <c r="E81" s="25">
        <v>44833.708333333336</v>
      </c>
      <c r="F81" s="27">
        <v>42</v>
      </c>
      <c r="G81" s="27"/>
      <c r="H81" s="27"/>
      <c r="I81" s="23" t="s">
        <v>251</v>
      </c>
    </row>
    <row r="82" spans="1:9" ht="75" customHeight="1" x14ac:dyDescent="0.2">
      <c r="A82" s="24">
        <v>76</v>
      </c>
      <c r="B82" s="24">
        <v>1</v>
      </c>
      <c r="C82" s="24">
        <v>72</v>
      </c>
      <c r="D82" s="25">
        <v>44833.833333333336</v>
      </c>
      <c r="E82" s="25">
        <v>44833.833333333336</v>
      </c>
      <c r="F82" s="27">
        <v>35</v>
      </c>
      <c r="G82" s="27"/>
      <c r="H82" s="27"/>
      <c r="I82" s="23" t="s">
        <v>252</v>
      </c>
    </row>
    <row r="83" spans="1:9" ht="75" customHeight="1" x14ac:dyDescent="0.2">
      <c r="A83" s="24">
        <v>77</v>
      </c>
      <c r="B83" s="24">
        <v>1</v>
      </c>
      <c r="C83" s="24">
        <v>72</v>
      </c>
      <c r="D83" s="25">
        <v>44833.875</v>
      </c>
      <c r="E83" s="25">
        <v>44833.875</v>
      </c>
      <c r="F83" s="27">
        <v>44</v>
      </c>
      <c r="G83" s="27"/>
      <c r="H83" s="27"/>
      <c r="I83" s="23" t="s">
        <v>253</v>
      </c>
    </row>
    <row r="84" spans="1:9" ht="75" customHeight="1" x14ac:dyDescent="0.2">
      <c r="A84" s="24">
        <v>78</v>
      </c>
      <c r="B84" s="24">
        <v>1</v>
      </c>
      <c r="C84" s="24">
        <v>73</v>
      </c>
      <c r="D84" s="25">
        <v>44833.916666666664</v>
      </c>
      <c r="E84" s="25">
        <v>44833.916666666664</v>
      </c>
      <c r="F84" s="27">
        <v>40</v>
      </c>
      <c r="G84" s="27"/>
      <c r="H84" s="27"/>
      <c r="I84" s="23" t="s">
        <v>254</v>
      </c>
    </row>
    <row r="85" spans="1:9" ht="75" customHeight="1" x14ac:dyDescent="0.2">
      <c r="A85" s="24">
        <v>79</v>
      </c>
      <c r="B85" s="24">
        <v>1</v>
      </c>
      <c r="C85" s="24">
        <v>73</v>
      </c>
      <c r="D85" s="25">
        <v>44833.958333333336</v>
      </c>
      <c r="E85" s="25">
        <v>44833.958333333336</v>
      </c>
      <c r="F85" s="27">
        <v>50</v>
      </c>
      <c r="G85" s="27"/>
      <c r="H85" s="27"/>
      <c r="I85" s="23" t="s">
        <v>255</v>
      </c>
    </row>
    <row r="86" spans="1:9" ht="75" customHeight="1" x14ac:dyDescent="0.2">
      <c r="A86" s="24">
        <v>80</v>
      </c>
      <c r="B86" s="24">
        <v>1</v>
      </c>
      <c r="C86" s="24">
        <v>74</v>
      </c>
      <c r="D86" s="25">
        <v>44833.958333333336</v>
      </c>
      <c r="E86" s="25">
        <v>44833.958333333336</v>
      </c>
      <c r="F86" s="27">
        <v>43</v>
      </c>
      <c r="G86" s="27"/>
      <c r="H86" s="27"/>
      <c r="I86" s="23" t="s">
        <v>256</v>
      </c>
    </row>
    <row r="87" spans="1:9" ht="75" customHeight="1" x14ac:dyDescent="0.2">
      <c r="A87" s="24">
        <v>81</v>
      </c>
      <c r="B87" s="24">
        <v>1</v>
      </c>
      <c r="C87" s="24">
        <v>73</v>
      </c>
      <c r="D87" s="25">
        <v>44834</v>
      </c>
      <c r="E87" s="25">
        <v>44834</v>
      </c>
      <c r="F87" s="27">
        <v>50</v>
      </c>
      <c r="G87" s="27"/>
      <c r="H87" s="27"/>
      <c r="I87" s="23" t="s">
        <v>257</v>
      </c>
    </row>
    <row r="88" spans="1:9" ht="75" customHeight="1" x14ac:dyDescent="0.2">
      <c r="A88" s="24">
        <v>82</v>
      </c>
      <c r="B88" s="24">
        <v>1</v>
      </c>
      <c r="C88" s="24">
        <v>75</v>
      </c>
      <c r="D88" s="25">
        <v>44834.041666666664</v>
      </c>
      <c r="E88" s="25">
        <v>44834.041666666664</v>
      </c>
      <c r="F88" s="27">
        <v>45</v>
      </c>
      <c r="G88" s="27"/>
      <c r="H88" s="27"/>
      <c r="I88" s="23" t="s">
        <v>258</v>
      </c>
    </row>
    <row r="89" spans="1:9" ht="75" customHeight="1" x14ac:dyDescent="0.2">
      <c r="A89" s="24">
        <v>83</v>
      </c>
      <c r="B89" s="24">
        <v>1</v>
      </c>
      <c r="C89" s="24">
        <v>76</v>
      </c>
      <c r="D89" s="25">
        <v>44834.083333333336</v>
      </c>
      <c r="E89" s="25">
        <v>44834.083333333336</v>
      </c>
      <c r="F89" s="27">
        <v>39</v>
      </c>
      <c r="G89" s="27"/>
      <c r="H89" s="27"/>
      <c r="I89" s="23" t="s">
        <v>259</v>
      </c>
    </row>
    <row r="90" spans="1:9" ht="75" customHeight="1" x14ac:dyDescent="0.2">
      <c r="A90" s="24">
        <v>84</v>
      </c>
      <c r="B90" s="24">
        <v>1</v>
      </c>
      <c r="C90" s="24">
        <v>76</v>
      </c>
      <c r="D90" s="25">
        <v>44834.125</v>
      </c>
      <c r="E90" s="25">
        <v>44834.125</v>
      </c>
      <c r="F90" s="27">
        <v>46</v>
      </c>
      <c r="G90" s="27"/>
      <c r="H90" s="27"/>
      <c r="I90" s="23" t="s">
        <v>260</v>
      </c>
    </row>
    <row r="91" spans="1:9" ht="75" customHeight="1" x14ac:dyDescent="0.2">
      <c r="A91" s="24">
        <v>85</v>
      </c>
      <c r="B91" s="24">
        <v>1</v>
      </c>
      <c r="C91" s="24">
        <v>76</v>
      </c>
      <c r="D91" s="25">
        <v>44834.166666666664</v>
      </c>
      <c r="E91" s="25">
        <v>44834.166666666664</v>
      </c>
      <c r="F91" s="27">
        <v>35</v>
      </c>
      <c r="G91" s="27"/>
      <c r="H91" s="27"/>
      <c r="I91" s="23" t="s">
        <v>261</v>
      </c>
    </row>
    <row r="92" spans="1:9" ht="75" customHeight="1" x14ac:dyDescent="0.2">
      <c r="A92" s="24">
        <v>86</v>
      </c>
      <c r="B92" s="24">
        <v>1</v>
      </c>
      <c r="C92" s="24">
        <v>77</v>
      </c>
      <c r="D92" s="25">
        <v>44834.166666666664</v>
      </c>
      <c r="E92" s="25">
        <v>44834.166666666664</v>
      </c>
      <c r="F92" s="27">
        <v>35</v>
      </c>
      <c r="G92" s="27"/>
      <c r="H92" s="27"/>
      <c r="I92" s="23" t="s">
        <v>262</v>
      </c>
    </row>
    <row r="93" spans="1:9" ht="75" customHeight="1" x14ac:dyDescent="0.2">
      <c r="A93" s="24">
        <v>87</v>
      </c>
      <c r="B93" s="24">
        <v>1</v>
      </c>
      <c r="C93" s="24">
        <v>78</v>
      </c>
      <c r="D93" s="25">
        <v>44834.291666666664</v>
      </c>
      <c r="E93" s="25">
        <v>44834.291666666664</v>
      </c>
      <c r="F93" s="27">
        <v>35</v>
      </c>
      <c r="G93" s="27"/>
      <c r="H93" s="27"/>
      <c r="I93" s="23" t="s">
        <v>263</v>
      </c>
    </row>
    <row r="94" spans="1:9" ht="75" customHeight="1" x14ac:dyDescent="0.2">
      <c r="A94" s="24">
        <v>88</v>
      </c>
      <c r="B94" s="24">
        <v>1</v>
      </c>
      <c r="C94" s="24">
        <v>79</v>
      </c>
      <c r="D94" s="25">
        <v>44834.5</v>
      </c>
      <c r="E94" s="25">
        <v>44834.5</v>
      </c>
      <c r="F94" s="27">
        <v>35</v>
      </c>
      <c r="G94" s="27"/>
      <c r="H94" s="27"/>
      <c r="I94" s="23" t="s">
        <v>264</v>
      </c>
    </row>
    <row r="95" spans="1:9" ht="75" customHeight="1" x14ac:dyDescent="0.2">
      <c r="A95" s="24">
        <v>89</v>
      </c>
      <c r="B95" s="24">
        <v>1</v>
      </c>
      <c r="C95" s="24">
        <v>80</v>
      </c>
      <c r="D95" s="25">
        <v>44834.625</v>
      </c>
      <c r="E95" s="25">
        <v>44834.625</v>
      </c>
      <c r="F95" s="27">
        <v>44</v>
      </c>
      <c r="G95" s="27"/>
      <c r="H95" s="27"/>
      <c r="I95" s="23" t="s">
        <v>265</v>
      </c>
    </row>
    <row r="96" spans="1:9" ht="75" customHeight="1" x14ac:dyDescent="0.2">
      <c r="A96" s="24">
        <v>90</v>
      </c>
      <c r="B96" s="24">
        <v>1</v>
      </c>
      <c r="C96" s="24">
        <v>81</v>
      </c>
      <c r="D96" s="25">
        <v>44834.75</v>
      </c>
      <c r="E96" s="25">
        <v>44834.75</v>
      </c>
      <c r="F96" s="27">
        <v>44</v>
      </c>
      <c r="G96" s="27"/>
      <c r="H96" s="27"/>
      <c r="I96" s="23" t="s">
        <v>266</v>
      </c>
    </row>
    <row r="97" spans="1:9" ht="75" customHeight="1" x14ac:dyDescent="0.2">
      <c r="A97" s="24">
        <v>91</v>
      </c>
      <c r="B97" s="24">
        <v>1</v>
      </c>
      <c r="C97" s="24">
        <v>78</v>
      </c>
      <c r="D97" s="25">
        <v>44834.75</v>
      </c>
      <c r="E97" s="25">
        <v>44834.75</v>
      </c>
      <c r="F97" s="27">
        <v>45</v>
      </c>
      <c r="G97" s="27"/>
      <c r="H97" s="27"/>
      <c r="I97" s="23" t="s">
        <v>267</v>
      </c>
    </row>
    <row r="98" spans="1:9" ht="75" customHeight="1" x14ac:dyDescent="0.2">
      <c r="A98" s="24">
        <v>92</v>
      </c>
      <c r="B98" s="24">
        <v>1</v>
      </c>
      <c r="C98" s="24">
        <v>82</v>
      </c>
      <c r="D98" s="25">
        <v>44834.791666666664</v>
      </c>
      <c r="E98" s="25">
        <v>44834.791666666664</v>
      </c>
      <c r="F98" s="27">
        <v>55</v>
      </c>
      <c r="G98" s="27"/>
      <c r="H98" s="27"/>
      <c r="I98" s="23" t="s">
        <v>268</v>
      </c>
    </row>
    <row r="99" spans="1:9" ht="75" customHeight="1" x14ac:dyDescent="0.2">
      <c r="A99" s="24">
        <v>93</v>
      </c>
      <c r="B99" s="24">
        <v>2</v>
      </c>
      <c r="C99" s="24">
        <v>83</v>
      </c>
      <c r="D99" s="25" t="s">
        <v>382</v>
      </c>
      <c r="E99" s="25" t="s">
        <v>382</v>
      </c>
      <c r="F99" s="27">
        <v>50</v>
      </c>
      <c r="G99" s="27">
        <v>564.5</v>
      </c>
      <c r="H99" s="27"/>
      <c r="I99" s="23" t="s">
        <v>383</v>
      </c>
    </row>
    <row r="100" spans="1:9" ht="75" customHeight="1" x14ac:dyDescent="0.2">
      <c r="A100" s="24">
        <v>94</v>
      </c>
      <c r="B100" s="24">
        <v>2</v>
      </c>
      <c r="C100" s="24">
        <v>84</v>
      </c>
      <c r="D100" s="25" t="s">
        <v>384</v>
      </c>
      <c r="E100" s="25" t="s">
        <v>384</v>
      </c>
      <c r="F100" s="27">
        <v>75</v>
      </c>
      <c r="G100" s="27">
        <v>823</v>
      </c>
      <c r="H100" s="27"/>
      <c r="I100" s="23" t="s">
        <v>385</v>
      </c>
    </row>
    <row r="101" spans="1:9" ht="75" customHeight="1" x14ac:dyDescent="0.2">
      <c r="A101" s="24">
        <v>95</v>
      </c>
      <c r="B101" s="24">
        <v>2</v>
      </c>
      <c r="C101" s="24">
        <v>85</v>
      </c>
      <c r="D101" s="25" t="s">
        <v>386</v>
      </c>
      <c r="E101" s="25" t="s">
        <v>387</v>
      </c>
      <c r="F101" s="27">
        <v>77.5</v>
      </c>
      <c r="G101" s="27">
        <v>348.2</v>
      </c>
      <c r="H101" s="27"/>
      <c r="I101" s="23" t="s">
        <v>388</v>
      </c>
    </row>
    <row r="102" spans="1:9" ht="75" customHeight="1" x14ac:dyDescent="0.2">
      <c r="A102" s="24">
        <v>96</v>
      </c>
      <c r="B102" s="24">
        <v>2</v>
      </c>
      <c r="C102" s="24">
        <v>86</v>
      </c>
      <c r="D102" s="25" t="s">
        <v>389</v>
      </c>
      <c r="E102" s="25" t="s">
        <v>389</v>
      </c>
      <c r="F102" s="27">
        <v>100</v>
      </c>
      <c r="G102" s="27"/>
      <c r="H102" s="27"/>
      <c r="I102" s="23" t="s">
        <v>390</v>
      </c>
    </row>
    <row r="103" spans="1:9" ht="75" customHeight="1" x14ac:dyDescent="0.2">
      <c r="A103" s="24">
        <v>97</v>
      </c>
      <c r="B103" s="24">
        <v>2</v>
      </c>
      <c r="C103" s="24">
        <v>87</v>
      </c>
      <c r="D103" s="25" t="s">
        <v>391</v>
      </c>
      <c r="E103" s="25" t="s">
        <v>391</v>
      </c>
      <c r="F103" s="27">
        <v>85</v>
      </c>
      <c r="G103" s="27">
        <v>212</v>
      </c>
      <c r="H103" s="27"/>
      <c r="I103" s="23" t="s">
        <v>392</v>
      </c>
    </row>
    <row r="104" spans="1:9" ht="75" customHeight="1" x14ac:dyDescent="0.2">
      <c r="A104" s="24">
        <v>98</v>
      </c>
      <c r="B104" s="24">
        <v>2</v>
      </c>
      <c r="C104" s="24">
        <v>88</v>
      </c>
      <c r="D104" s="25" t="s">
        <v>393</v>
      </c>
      <c r="E104" s="25" t="s">
        <v>393</v>
      </c>
      <c r="F104" s="27">
        <v>45</v>
      </c>
      <c r="G104" s="27"/>
      <c r="H104" s="27"/>
      <c r="I104" s="23" t="s">
        <v>394</v>
      </c>
    </row>
    <row r="105" spans="1:9" ht="75" customHeight="1" x14ac:dyDescent="0.2">
      <c r="A105" s="24">
        <v>99</v>
      </c>
      <c r="B105" s="24">
        <v>2</v>
      </c>
      <c r="C105" s="24">
        <v>89</v>
      </c>
      <c r="D105" s="25" t="s">
        <v>345</v>
      </c>
      <c r="E105" s="25" t="s">
        <v>345</v>
      </c>
      <c r="F105" s="27">
        <v>43</v>
      </c>
      <c r="G105" s="27">
        <v>243.5</v>
      </c>
      <c r="H105" s="27"/>
      <c r="I105" s="23" t="s">
        <v>395</v>
      </c>
    </row>
    <row r="106" spans="1:9" ht="75" customHeight="1" x14ac:dyDescent="0.2">
      <c r="A106" s="24">
        <v>100</v>
      </c>
      <c r="B106" s="24">
        <v>2</v>
      </c>
      <c r="C106" s="24">
        <v>90</v>
      </c>
      <c r="D106" s="25"/>
      <c r="E106" s="25"/>
      <c r="F106" s="27"/>
      <c r="G106" s="27">
        <v>564.5</v>
      </c>
      <c r="H106" s="27"/>
      <c r="I106" s="23" t="s">
        <v>396</v>
      </c>
    </row>
    <row r="107" spans="1:9" ht="75" customHeight="1" x14ac:dyDescent="0.2">
      <c r="A107" s="24">
        <v>101</v>
      </c>
      <c r="B107" s="24">
        <v>2</v>
      </c>
      <c r="C107" s="24">
        <v>91</v>
      </c>
      <c r="D107" s="25" t="s">
        <v>397</v>
      </c>
      <c r="E107" s="25" t="s">
        <v>397</v>
      </c>
      <c r="F107" s="27">
        <v>68</v>
      </c>
      <c r="G107" s="27"/>
      <c r="H107" s="27"/>
      <c r="I107" s="23" t="s">
        <v>398</v>
      </c>
    </row>
    <row r="108" spans="1:9" ht="75" customHeight="1" x14ac:dyDescent="0.2">
      <c r="A108" s="24">
        <v>102</v>
      </c>
      <c r="B108" s="24">
        <v>2</v>
      </c>
      <c r="C108" s="24">
        <v>92</v>
      </c>
      <c r="D108" s="25" t="s">
        <v>399</v>
      </c>
      <c r="E108" s="25" t="s">
        <v>399</v>
      </c>
      <c r="F108" s="27">
        <v>60</v>
      </c>
      <c r="G108" s="27">
        <v>287</v>
      </c>
      <c r="H108" s="27"/>
      <c r="I108" s="23" t="s">
        <v>400</v>
      </c>
    </row>
    <row r="109" spans="1:9" ht="75" customHeight="1" x14ac:dyDescent="0.2">
      <c r="A109" s="24">
        <v>103</v>
      </c>
      <c r="B109" s="24">
        <v>2</v>
      </c>
      <c r="C109" s="24">
        <v>93</v>
      </c>
      <c r="D109" s="25" t="s">
        <v>401</v>
      </c>
      <c r="E109" s="25" t="s">
        <v>401</v>
      </c>
      <c r="F109" s="27">
        <v>61</v>
      </c>
      <c r="G109" s="27"/>
      <c r="H109" s="27"/>
      <c r="I109" s="23" t="s">
        <v>402</v>
      </c>
    </row>
    <row r="110" spans="1:9" ht="75" customHeight="1" x14ac:dyDescent="0.2">
      <c r="A110" s="24">
        <v>104</v>
      </c>
      <c r="B110" s="24">
        <v>2</v>
      </c>
      <c r="C110" s="24">
        <v>94</v>
      </c>
      <c r="D110" s="25" t="s">
        <v>403</v>
      </c>
      <c r="E110" s="25" t="s">
        <v>403</v>
      </c>
      <c r="F110" s="27">
        <v>38</v>
      </c>
      <c r="G110" s="27"/>
      <c r="H110" s="27"/>
      <c r="I110" s="23" t="s">
        <v>404</v>
      </c>
    </row>
    <row r="111" spans="1:9" ht="75" customHeight="1" x14ac:dyDescent="0.2">
      <c r="A111" s="24">
        <v>105</v>
      </c>
      <c r="B111" s="24">
        <v>2</v>
      </c>
      <c r="C111" s="24">
        <v>95</v>
      </c>
      <c r="D111" s="25"/>
      <c r="E111" s="25"/>
      <c r="F111" s="27"/>
      <c r="G111" s="27">
        <v>823</v>
      </c>
      <c r="H111" s="27"/>
      <c r="I111" s="23" t="s">
        <v>405</v>
      </c>
    </row>
    <row r="112" spans="1:9" ht="75" customHeight="1" x14ac:dyDescent="0.2">
      <c r="A112" s="24">
        <v>106</v>
      </c>
      <c r="B112" s="24">
        <v>2</v>
      </c>
      <c r="C112" s="24">
        <v>96</v>
      </c>
      <c r="D112" s="25" t="s">
        <v>406</v>
      </c>
      <c r="E112" s="25" t="s">
        <v>406</v>
      </c>
      <c r="F112" s="27">
        <v>48</v>
      </c>
      <c r="G112" s="27"/>
      <c r="H112" s="27"/>
      <c r="I112" s="23" t="s">
        <v>407</v>
      </c>
    </row>
    <row r="113" spans="1:9" ht="75" customHeight="1" x14ac:dyDescent="0.2">
      <c r="A113" s="24">
        <v>107</v>
      </c>
      <c r="B113" s="24">
        <v>2</v>
      </c>
      <c r="C113" s="24">
        <v>97</v>
      </c>
      <c r="D113" s="25"/>
      <c r="E113" s="25"/>
      <c r="F113" s="27"/>
      <c r="G113" s="27">
        <v>255.3</v>
      </c>
      <c r="H113" s="27"/>
      <c r="I113" s="23" t="s">
        <v>408</v>
      </c>
    </row>
    <row r="114" spans="1:9" ht="75" customHeight="1" x14ac:dyDescent="0.2">
      <c r="A114" s="24">
        <v>108</v>
      </c>
      <c r="B114" s="24">
        <v>2</v>
      </c>
      <c r="C114" s="24">
        <v>98</v>
      </c>
      <c r="D114" s="25" t="s">
        <v>387</v>
      </c>
      <c r="E114" s="25" t="s">
        <v>387</v>
      </c>
      <c r="F114" s="27">
        <v>36</v>
      </c>
      <c r="G114" s="27">
        <v>130.30000000000001</v>
      </c>
      <c r="H114" s="27"/>
      <c r="I114" s="23" t="s">
        <v>409</v>
      </c>
    </row>
  </sheetData>
  <mergeCells count="3">
    <mergeCell ref="A1:I1"/>
    <mergeCell ref="A2:I2"/>
    <mergeCell ref="A3: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8AC7-2802-4014-B630-EA5F377DA589}">
  <dimension ref="A1:G39"/>
  <sheetViews>
    <sheetView workbookViewId="0">
      <pane ySplit="5" topLeftCell="A8" activePane="bottomLeft" state="frozen"/>
      <selection pane="bottomLeft" activeCell="H25" sqref="H25"/>
    </sheetView>
  </sheetViews>
  <sheetFormatPr baseColWidth="10" defaultColWidth="8.83203125" defaultRowHeight="15" x14ac:dyDescent="0.2"/>
  <cols>
    <col min="1" max="1" width="18.33203125" customWidth="1"/>
    <col min="2" max="2" width="15" customWidth="1"/>
    <col min="3" max="3" width="19.1640625" customWidth="1"/>
    <col min="4" max="4" width="20" customWidth="1"/>
    <col min="5" max="6" width="31.6640625" customWidth="1"/>
    <col min="7" max="7" width="100" customWidth="1"/>
  </cols>
  <sheetData>
    <row r="1" spans="1:7" ht="32.25" customHeight="1" x14ac:dyDescent="0.2">
      <c r="A1" s="14" t="s">
        <v>61</v>
      </c>
      <c r="B1" s="14"/>
      <c r="C1" s="14"/>
      <c r="D1" s="14"/>
      <c r="E1" s="14"/>
      <c r="F1" s="14"/>
      <c r="G1" s="14"/>
    </row>
    <row r="2" spans="1:7" ht="21.75" customHeight="1" x14ac:dyDescent="0.2">
      <c r="A2" s="15" t="s">
        <v>62</v>
      </c>
      <c r="B2" s="15"/>
      <c r="C2" s="15"/>
      <c r="D2" s="15"/>
      <c r="E2" s="15"/>
      <c r="F2" s="15"/>
      <c r="G2" s="15"/>
    </row>
    <row r="3" spans="1:7" ht="21.75" customHeight="1" x14ac:dyDescent="0.2">
      <c r="A3" s="16" t="s">
        <v>63</v>
      </c>
      <c r="B3" s="16"/>
      <c r="C3" s="16"/>
      <c r="D3" s="16"/>
      <c r="E3" s="16"/>
      <c r="F3" s="16"/>
      <c r="G3" s="16"/>
    </row>
    <row r="4" spans="1:7" ht="9" customHeight="1" x14ac:dyDescent="0.2">
      <c r="A4" s="18"/>
      <c r="B4" s="18"/>
      <c r="C4" s="18"/>
      <c r="D4" s="18"/>
      <c r="E4" s="18"/>
      <c r="F4" s="18"/>
      <c r="G4" s="18"/>
    </row>
    <row r="5" spans="1:7" ht="30" customHeight="1" x14ac:dyDescent="0.2">
      <c r="A5" s="22" t="s">
        <v>36</v>
      </c>
      <c r="B5" s="22" t="s">
        <v>32</v>
      </c>
      <c r="C5" s="22" t="s">
        <v>64</v>
      </c>
      <c r="D5" s="22" t="s">
        <v>65</v>
      </c>
      <c r="E5" s="22" t="s">
        <v>66</v>
      </c>
      <c r="F5" s="22" t="s">
        <v>67</v>
      </c>
      <c r="G5" s="22" t="s">
        <v>51</v>
      </c>
    </row>
    <row r="6" spans="1:7" ht="75" customHeight="1" x14ac:dyDescent="0.2">
      <c r="A6" s="24">
        <v>0</v>
      </c>
      <c r="B6" s="24">
        <v>0</v>
      </c>
      <c r="C6" s="28"/>
      <c r="D6" s="28"/>
      <c r="E6" s="29">
        <v>2900000000</v>
      </c>
      <c r="F6" s="29">
        <v>12200000000</v>
      </c>
      <c r="G6" s="23" t="s">
        <v>333</v>
      </c>
    </row>
    <row r="7" spans="1:7" ht="75" customHeight="1" x14ac:dyDescent="0.2">
      <c r="A7" s="24">
        <v>1</v>
      </c>
      <c r="B7" s="24">
        <v>1</v>
      </c>
      <c r="C7" s="28">
        <v>0</v>
      </c>
      <c r="D7" s="28">
        <v>0</v>
      </c>
      <c r="E7" s="29"/>
      <c r="F7" s="29"/>
      <c r="G7" s="23" t="s">
        <v>103</v>
      </c>
    </row>
    <row r="8" spans="1:7" ht="75" customHeight="1" x14ac:dyDescent="0.2">
      <c r="A8" s="24">
        <v>2</v>
      </c>
      <c r="B8" s="24">
        <v>3</v>
      </c>
      <c r="C8" s="28"/>
      <c r="D8" s="28"/>
      <c r="E8" s="29"/>
      <c r="F8" s="29"/>
      <c r="G8" s="23" t="s">
        <v>104</v>
      </c>
    </row>
    <row r="9" spans="1:7" ht="75" customHeight="1" x14ac:dyDescent="0.2">
      <c r="A9" s="24">
        <v>3</v>
      </c>
      <c r="B9" s="24">
        <v>34</v>
      </c>
      <c r="C9" s="28"/>
      <c r="D9" s="28"/>
      <c r="E9" s="29"/>
      <c r="F9" s="29"/>
      <c r="G9" s="23" t="s">
        <v>201</v>
      </c>
    </row>
    <row r="10" spans="1:7" ht="75" customHeight="1" x14ac:dyDescent="0.2">
      <c r="A10" s="24">
        <v>4</v>
      </c>
      <c r="B10" s="24">
        <v>26</v>
      </c>
      <c r="C10" s="28">
        <v>0</v>
      </c>
      <c r="D10" s="28">
        <v>0</v>
      </c>
      <c r="E10" s="29"/>
      <c r="F10" s="29"/>
      <c r="G10" s="23" t="s">
        <v>202</v>
      </c>
    </row>
    <row r="11" spans="1:7" ht="75" customHeight="1" x14ac:dyDescent="0.2">
      <c r="A11" s="24">
        <v>5</v>
      </c>
      <c r="B11" s="24">
        <v>31</v>
      </c>
      <c r="C11" s="28">
        <v>0</v>
      </c>
      <c r="D11" s="28">
        <v>0</v>
      </c>
      <c r="E11" s="29"/>
      <c r="F11" s="29"/>
      <c r="G11" s="23" t="s">
        <v>203</v>
      </c>
    </row>
    <row r="12" spans="1:7" ht="75" customHeight="1" x14ac:dyDescent="0.2">
      <c r="A12" s="24">
        <v>6</v>
      </c>
      <c r="B12" s="24">
        <v>35</v>
      </c>
      <c r="C12" s="28">
        <v>3</v>
      </c>
      <c r="D12" s="28">
        <v>2</v>
      </c>
      <c r="E12" s="29"/>
      <c r="F12" s="29"/>
      <c r="G12" s="23" t="s">
        <v>303</v>
      </c>
    </row>
    <row r="13" spans="1:7" ht="75" customHeight="1" x14ac:dyDescent="0.2">
      <c r="A13" s="24">
        <v>7</v>
      </c>
      <c r="B13" s="24">
        <v>37</v>
      </c>
      <c r="C13" s="28">
        <v>66</v>
      </c>
      <c r="D13" s="28">
        <v>84</v>
      </c>
      <c r="E13" s="29"/>
      <c r="F13" s="29">
        <v>109500000000</v>
      </c>
      <c r="G13" s="23" t="s">
        <v>304</v>
      </c>
    </row>
    <row r="14" spans="1:7" ht="75" customHeight="1" x14ac:dyDescent="0.2">
      <c r="A14" s="24">
        <v>8</v>
      </c>
      <c r="B14" s="24">
        <v>39</v>
      </c>
      <c r="C14" s="28">
        <v>0</v>
      </c>
      <c r="D14" s="28">
        <v>0</v>
      </c>
      <c r="E14" s="29"/>
      <c r="F14" s="29"/>
      <c r="G14" s="23" t="s">
        <v>305</v>
      </c>
    </row>
    <row r="15" spans="1:7" ht="75" customHeight="1" x14ac:dyDescent="0.2">
      <c r="A15" s="24">
        <v>9</v>
      </c>
      <c r="B15" s="24">
        <v>50</v>
      </c>
      <c r="C15" s="28">
        <v>0</v>
      </c>
      <c r="D15" s="28">
        <v>5</v>
      </c>
      <c r="E15" s="29"/>
      <c r="F15" s="29"/>
      <c r="G15" s="23" t="s">
        <v>306</v>
      </c>
    </row>
    <row r="16" spans="1:7" ht="75" customHeight="1" x14ac:dyDescent="0.2">
      <c r="A16" s="24">
        <v>10</v>
      </c>
      <c r="B16" s="24">
        <v>51</v>
      </c>
      <c r="C16" s="28">
        <v>0</v>
      </c>
      <c r="D16" s="28">
        <v>1</v>
      </c>
      <c r="E16" s="29"/>
      <c r="F16" s="29"/>
      <c r="G16" s="23" t="s">
        <v>307</v>
      </c>
    </row>
    <row r="17" spans="1:7" ht="75" customHeight="1" x14ac:dyDescent="0.2">
      <c r="A17" s="24">
        <v>11</v>
      </c>
      <c r="B17" s="24">
        <v>4</v>
      </c>
      <c r="C17" s="28"/>
      <c r="D17" s="28"/>
      <c r="E17" s="29">
        <f>INDEX(jamaica_parish_damage_ref!$D$6:$D$19,MATCH("Westmoreland",jamaica_parish_damage_ref!$A$6:$A$19,0))*1000000</f>
        <v>434000000</v>
      </c>
      <c r="F17" s="29">
        <f>INDEX(jamaica_parish_damage_ref!$F$6:$F$19,MATCH("Westmoreland",jamaica_parish_damage_ref!$A$6:$A$19,0))*1000000</f>
        <v>1409100000</v>
      </c>
      <c r="G17" s="23" t="s">
        <v>335</v>
      </c>
    </row>
    <row r="18" spans="1:7" ht="75" customHeight="1" x14ac:dyDescent="0.2">
      <c r="A18" s="24">
        <v>12</v>
      </c>
      <c r="B18" s="24">
        <v>5</v>
      </c>
      <c r="C18" s="28"/>
      <c r="D18" s="28"/>
      <c r="E18" s="29">
        <f>INDEX(jamaica_parish_damage_ref!$D$6:$D$19,MATCH("Trelawny",jamaica_parish_damage_ref!$A$6:$A$19,0))*1000000</f>
        <v>296500000</v>
      </c>
      <c r="F18" s="29">
        <f>INDEX(jamaica_parish_damage_ref!$F$6:$F$19,MATCH("Trelawny",jamaica_parish_damage_ref!$A$6:$A$19,0))*1000000</f>
        <v>746800000</v>
      </c>
      <c r="G18" s="23" t="s">
        <v>336</v>
      </c>
    </row>
    <row r="19" spans="1:7" ht="75" customHeight="1" x14ac:dyDescent="0.2">
      <c r="A19" s="24">
        <v>13</v>
      </c>
      <c r="B19" s="24">
        <v>6</v>
      </c>
      <c r="C19" s="28"/>
      <c r="D19" s="28"/>
      <c r="E19" s="29">
        <f>INDEX(jamaica_parish_damage_ref!$D$6:$D$19,MATCH("Saint Ann",jamaica_parish_damage_ref!$A$6:$A$19,0))*1000000</f>
        <v>154800000</v>
      </c>
      <c r="F19" s="29">
        <f>INDEX(jamaica_parish_damage_ref!$F$6:$F$19,MATCH("Saint Ann",jamaica_parish_damage_ref!$A$6:$A$19,0))*1000000</f>
        <v>552100000</v>
      </c>
      <c r="G19" s="23" t="s">
        <v>337</v>
      </c>
    </row>
    <row r="20" spans="1:7" ht="75" customHeight="1" x14ac:dyDescent="0.2">
      <c r="A20" s="24">
        <v>14</v>
      </c>
      <c r="B20" s="24">
        <v>7</v>
      </c>
      <c r="C20" s="28"/>
      <c r="D20" s="28"/>
      <c r="E20" s="29">
        <f>INDEX(jamaica_parish_damage_ref!$D$6:$D$19,MATCH("Saint Elizabeth",jamaica_parish_damage_ref!$A$6:$A$19,0))*1000000</f>
        <v>763600000</v>
      </c>
      <c r="F20" s="29">
        <f>INDEX(jamaica_parish_damage_ref!$F$6:$F$19,MATCH("Saint Elizabeth",jamaica_parish_damage_ref!$A$6:$A$19,0))*1000000</f>
        <v>2286000000</v>
      </c>
      <c r="G20" s="23" t="s">
        <v>338</v>
      </c>
    </row>
    <row r="21" spans="1:7" ht="75" customHeight="1" x14ac:dyDescent="0.2">
      <c r="A21" s="24">
        <v>15</v>
      </c>
      <c r="B21" s="24">
        <v>8</v>
      </c>
      <c r="C21" s="28"/>
      <c r="D21" s="28"/>
      <c r="E21" s="29">
        <f>INDEX(jamaica_parish_damage_ref!$D$6:$D$19,MATCH("Westmoreland",jamaica_parish_damage_ref!$A$6:$A$19,0))*1000000</f>
        <v>434000000</v>
      </c>
      <c r="F21" s="29">
        <f>INDEX(jamaica_parish_damage_ref!$F$6:$F$19,MATCH("Westmoreland",jamaica_parish_damage_ref!$A$6:$A$19,0))*1000000</f>
        <v>1409100000</v>
      </c>
      <c r="G21" s="23" t="s">
        <v>335</v>
      </c>
    </row>
    <row r="22" spans="1:7" ht="75" customHeight="1" x14ac:dyDescent="0.2">
      <c r="A22" s="24">
        <v>16</v>
      </c>
      <c r="B22" s="24">
        <v>9</v>
      </c>
      <c r="C22" s="28"/>
      <c r="D22" s="28"/>
      <c r="E22" s="29">
        <f>INDEX(jamaica_parish_damage_ref!$D$6:$D$19,MATCH("Westmoreland",jamaica_parish_damage_ref!$A$6:$A$19,0))*1000000</f>
        <v>434000000</v>
      </c>
      <c r="F22" s="29">
        <f>INDEX(jamaica_parish_damage_ref!$F$6:$F$19,MATCH("Westmoreland",jamaica_parish_damage_ref!$A$6:$A$19,0))*1000000</f>
        <v>1409100000</v>
      </c>
      <c r="G22" s="23" t="s">
        <v>335</v>
      </c>
    </row>
    <row r="23" spans="1:7" ht="75" customHeight="1" x14ac:dyDescent="0.2">
      <c r="A23" s="24">
        <v>17</v>
      </c>
      <c r="B23" s="24">
        <v>10</v>
      </c>
      <c r="C23" s="28"/>
      <c r="D23" s="28"/>
      <c r="E23" s="29">
        <f>INDEX(jamaica_parish_damage_ref!$D$6:$D$19,MATCH("Trelawny",jamaica_parish_damage_ref!$A$6:$A$19,0))*1000000</f>
        <v>296500000</v>
      </c>
      <c r="F23" s="29">
        <f>INDEX(jamaica_parish_damage_ref!$F$6:$F$19,MATCH("Trelawny",jamaica_parish_damage_ref!$A$6:$A$19,0))*1000000</f>
        <v>746800000</v>
      </c>
      <c r="G23" s="23" t="s">
        <v>336</v>
      </c>
    </row>
    <row r="24" spans="1:7" ht="75" customHeight="1" x14ac:dyDescent="0.2">
      <c r="A24" s="24">
        <v>18</v>
      </c>
      <c r="B24" s="24">
        <v>11</v>
      </c>
      <c r="C24" s="28"/>
      <c r="D24" s="28"/>
      <c r="E24" s="29">
        <f>INDEX(jamaica_parish_damage_ref!$D$6:$D$19,MATCH("Saint Ann",jamaica_parish_damage_ref!$A$6:$A$19,0))*1000000</f>
        <v>154800000</v>
      </c>
      <c r="F24" s="29">
        <f>INDEX(jamaica_parish_damage_ref!$F$6:$F$19,MATCH("Saint Ann",jamaica_parish_damage_ref!$A$6:$A$19,0))*1000000</f>
        <v>552100000</v>
      </c>
      <c r="G24" s="23" t="s">
        <v>337</v>
      </c>
    </row>
    <row r="25" spans="1:7" ht="75" customHeight="1" x14ac:dyDescent="0.2">
      <c r="A25" s="24">
        <v>19</v>
      </c>
      <c r="B25" s="24">
        <v>12</v>
      </c>
      <c r="C25" s="28"/>
      <c r="D25" s="28"/>
      <c r="E25" s="29">
        <f>INDEX(jamaica_parish_damage_ref!$D$6:$D$19,MATCH("Clarendon",jamaica_parish_damage_ref!$A$6:$A$19,0))*1000000</f>
        <v>112000000</v>
      </c>
      <c r="F25" s="29">
        <f>INDEX(jamaica_parish_damage_ref!$F$6:$F$19,MATCH("Clarendon",jamaica_parish_damage_ref!$A$6:$A$19,0))*1000000</f>
        <v>318600000</v>
      </c>
      <c r="G25" s="23" t="s">
        <v>339</v>
      </c>
    </row>
    <row r="26" spans="1:7" ht="75" customHeight="1" x14ac:dyDescent="0.2">
      <c r="A26" s="24">
        <v>20</v>
      </c>
      <c r="B26" s="24">
        <v>13</v>
      </c>
      <c r="C26" s="28"/>
      <c r="D26" s="28"/>
      <c r="E26" s="29">
        <f>INDEX(jamaica_parish_damage_ref!$D$6:$D$19,MATCH("Saint Andrew",jamaica_parish_damage_ref!$A$6:$A$19,0))*1000000</f>
        <v>30600000</v>
      </c>
      <c r="F26" s="29">
        <f>INDEX(jamaica_parish_damage_ref!$F$6:$F$19,MATCH("Saint Andrew",jamaica_parish_damage_ref!$A$6:$A$19,0))*1000000</f>
        <v>139500000</v>
      </c>
      <c r="G26" s="23" t="s">
        <v>340</v>
      </c>
    </row>
    <row r="27" spans="1:7" ht="75" customHeight="1" x14ac:dyDescent="0.2">
      <c r="A27" s="24">
        <v>21</v>
      </c>
      <c r="B27" s="24">
        <v>14</v>
      </c>
      <c r="C27" s="28"/>
      <c r="D27" s="28"/>
      <c r="E27" s="29">
        <f>INDEX(jamaica_parish_damage_ref!$D$6:$D$19,MATCH("Saint Andrew",jamaica_parish_damage_ref!$A$6:$A$19,0))*1000000</f>
        <v>30600000</v>
      </c>
      <c r="F27" s="29">
        <f>INDEX(jamaica_parish_damage_ref!$F$6:$F$19,MATCH("Saint Andrew",jamaica_parish_damage_ref!$A$6:$A$19,0))*1000000</f>
        <v>139500000</v>
      </c>
      <c r="G27" s="23" t="s">
        <v>340</v>
      </c>
    </row>
    <row r="28" spans="1:7" ht="75" customHeight="1" x14ac:dyDescent="0.2">
      <c r="A28" s="24">
        <v>22</v>
      </c>
      <c r="B28" s="24">
        <v>15</v>
      </c>
      <c r="C28" s="28"/>
      <c r="D28" s="28"/>
      <c r="E28" s="29">
        <f>INDEX(jamaica_parish_damage_ref!$D$6:$D$19,MATCH("Saint James",jamaica_parish_damage_ref!$A$6:$A$19,0))*1000000</f>
        <v>587000000</v>
      </c>
      <c r="F28" s="29">
        <f>INDEX(jamaica_parish_damage_ref!$F$6:$F$19,MATCH("Saint James",jamaica_parish_damage_ref!$A$6:$A$19,0))*1000000</f>
        <v>1822100000</v>
      </c>
      <c r="G28" s="23" t="s">
        <v>341</v>
      </c>
    </row>
    <row r="29" spans="1:7" ht="75" customHeight="1" x14ac:dyDescent="0.2">
      <c r="A29" s="24">
        <v>23</v>
      </c>
      <c r="B29" s="24">
        <v>16</v>
      </c>
      <c r="C29" s="28"/>
      <c r="D29" s="28"/>
      <c r="E29" s="29">
        <f>INDEX(jamaica_parish_damage_ref!$D$6:$D$19,MATCH("Kingston",jamaica_parish_damage_ref!$A$6:$A$19,0))*1000000</f>
        <v>7000000</v>
      </c>
      <c r="F29" s="29">
        <f>INDEX(jamaica_parish_damage_ref!$F$6:$F$19,MATCH("Kingston",jamaica_parish_damage_ref!$A$6:$A$19,0))*1000000</f>
        <v>14000000</v>
      </c>
      <c r="G29" s="23" t="s">
        <v>342</v>
      </c>
    </row>
    <row r="30" spans="1:7" ht="75" customHeight="1" x14ac:dyDescent="0.2">
      <c r="A30" s="24">
        <v>24</v>
      </c>
      <c r="B30" s="24">
        <v>93</v>
      </c>
      <c r="C30" s="28">
        <v>1</v>
      </c>
      <c r="D30" s="28">
        <v>0</v>
      </c>
      <c r="E30" s="29"/>
      <c r="F30" s="29"/>
      <c r="G30" s="23" t="s">
        <v>411</v>
      </c>
    </row>
    <row r="31" spans="1:7" ht="75" customHeight="1" x14ac:dyDescent="0.2">
      <c r="A31" s="24">
        <v>25</v>
      </c>
      <c r="B31" s="24">
        <v>94</v>
      </c>
      <c r="C31" s="28">
        <v>2</v>
      </c>
      <c r="D31" s="28">
        <v>21</v>
      </c>
      <c r="E31" s="29"/>
      <c r="F31" s="29" t="s">
        <v>410</v>
      </c>
      <c r="G31" s="23" t="s">
        <v>412</v>
      </c>
    </row>
    <row r="32" spans="1:7" ht="75" customHeight="1" x14ac:dyDescent="0.2">
      <c r="A32" s="24"/>
      <c r="B32" s="24"/>
      <c r="C32" s="28"/>
      <c r="D32" s="28"/>
      <c r="E32" s="29"/>
      <c r="F32" s="29"/>
      <c r="G32" s="23" t="s">
        <v>66</v>
      </c>
    </row>
    <row r="33" spans="1:7" ht="75" customHeight="1" x14ac:dyDescent="0.2">
      <c r="A33" s="24"/>
      <c r="B33" s="24"/>
      <c r="C33" s="28"/>
      <c r="D33" s="28"/>
      <c r="E33" s="29"/>
      <c r="F33" s="29"/>
      <c r="G33" s="23" t="s">
        <v>413</v>
      </c>
    </row>
    <row r="34" spans="1:7" ht="75" customHeight="1" x14ac:dyDescent="0.2">
      <c r="A34" s="24">
        <v>26</v>
      </c>
      <c r="B34" s="24">
        <v>95</v>
      </c>
      <c r="C34" s="28">
        <v>2</v>
      </c>
      <c r="D34" s="28">
        <v>0</v>
      </c>
      <c r="E34" s="29"/>
      <c r="F34" s="29"/>
      <c r="G34" s="23" t="s">
        <v>414</v>
      </c>
    </row>
    <row r="35" spans="1:7" ht="75" customHeight="1" x14ac:dyDescent="0.2">
      <c r="A35" s="24">
        <v>27</v>
      </c>
      <c r="B35" s="24">
        <v>96</v>
      </c>
      <c r="C35" s="28">
        <v>0</v>
      </c>
      <c r="D35" s="28">
        <v>0</v>
      </c>
      <c r="E35" s="29"/>
      <c r="F35" s="29"/>
      <c r="G35" s="23" t="s">
        <v>415</v>
      </c>
    </row>
    <row r="36" spans="1:7" ht="75" customHeight="1" x14ac:dyDescent="0.2">
      <c r="A36" s="24">
        <v>28</v>
      </c>
      <c r="B36" s="24">
        <v>114</v>
      </c>
      <c r="C36" s="28">
        <v>0</v>
      </c>
      <c r="D36" s="28">
        <v>0</v>
      </c>
      <c r="E36" s="29"/>
      <c r="F36" s="29"/>
      <c r="G36" s="23" t="s">
        <v>416</v>
      </c>
    </row>
    <row r="37" spans="1:7" ht="75" customHeight="1" x14ac:dyDescent="0.2">
      <c r="A37" s="24">
        <v>29</v>
      </c>
      <c r="B37" s="24">
        <v>123</v>
      </c>
      <c r="C37" s="28">
        <v>2</v>
      </c>
      <c r="D37" s="28">
        <v>1</v>
      </c>
      <c r="E37" s="29"/>
      <c r="F37" s="29"/>
      <c r="G37" s="23" t="s">
        <v>417</v>
      </c>
    </row>
    <row r="38" spans="1:7" x14ac:dyDescent="0.2">
      <c r="G38" s="12"/>
    </row>
    <row r="39" spans="1:7" x14ac:dyDescent="0.2">
      <c r="G39" s="12"/>
    </row>
  </sheetData>
  <mergeCells count="3">
    <mergeCell ref="A1:G1"/>
    <mergeCell ref="A2:G2"/>
    <mergeCell ref="A3: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0B1DA-B875-4400-86A1-B83B41030127}">
  <dimension ref="A1:F105"/>
  <sheetViews>
    <sheetView workbookViewId="0">
      <pane ySplit="5" topLeftCell="A68" activePane="bottomLeft" state="frozen"/>
      <selection pane="bottomLeft" activeCell="C42" sqref="C42"/>
    </sheetView>
  </sheetViews>
  <sheetFormatPr baseColWidth="10" defaultColWidth="8.83203125" defaultRowHeight="15" x14ac:dyDescent="0.2"/>
  <cols>
    <col min="1" max="1" width="16.6640625" customWidth="1"/>
    <col min="2" max="2" width="53.33203125" customWidth="1"/>
    <col min="3" max="3" width="25" customWidth="1"/>
    <col min="4" max="5" width="16.6640625" customWidth="1"/>
    <col min="6" max="6" width="100" customWidth="1"/>
  </cols>
  <sheetData>
    <row r="1" spans="1:6" ht="32.25" customHeight="1" x14ac:dyDescent="0.2">
      <c r="A1" s="14" t="s">
        <v>68</v>
      </c>
      <c r="B1" s="14"/>
      <c r="C1" s="14"/>
      <c r="D1" s="14"/>
      <c r="E1" s="14"/>
      <c r="F1" s="14"/>
    </row>
    <row r="2" spans="1:6" ht="21.75" customHeight="1" x14ac:dyDescent="0.2">
      <c r="A2" s="15" t="s">
        <v>69</v>
      </c>
      <c r="B2" s="15"/>
      <c r="C2" s="15"/>
      <c r="D2" s="15"/>
      <c r="E2" s="15"/>
      <c r="F2" s="15"/>
    </row>
    <row r="3" spans="1:6" ht="21.75" customHeight="1" x14ac:dyDescent="0.2">
      <c r="A3" s="16" t="s">
        <v>70</v>
      </c>
      <c r="B3" s="16"/>
      <c r="C3" s="16"/>
      <c r="D3" s="16"/>
      <c r="E3" s="16"/>
      <c r="F3" s="16"/>
    </row>
    <row r="4" spans="1:6" ht="9" customHeight="1" x14ac:dyDescent="0.2">
      <c r="A4" s="18"/>
      <c r="B4" s="18"/>
      <c r="C4" s="18"/>
      <c r="D4" s="18"/>
      <c r="E4" s="18"/>
      <c r="F4" s="18"/>
    </row>
    <row r="5" spans="1:6" ht="30" customHeight="1" x14ac:dyDescent="0.2">
      <c r="A5" s="22" t="s">
        <v>40</v>
      </c>
      <c r="B5" s="22" t="s">
        <v>71</v>
      </c>
      <c r="C5" s="22" t="s">
        <v>72</v>
      </c>
      <c r="D5" s="22" t="s">
        <v>73</v>
      </c>
      <c r="E5" s="22" t="s">
        <v>74</v>
      </c>
      <c r="F5" s="22" t="s">
        <v>51</v>
      </c>
    </row>
    <row r="6" spans="1:6" ht="75" customHeight="1" x14ac:dyDescent="0.2">
      <c r="A6" s="24">
        <v>0</v>
      </c>
      <c r="B6" s="23" t="s">
        <v>86</v>
      </c>
      <c r="C6" s="23" t="s">
        <v>87</v>
      </c>
      <c r="D6" s="30">
        <v>18.100000000000001</v>
      </c>
      <c r="E6" s="30">
        <v>-78</v>
      </c>
      <c r="F6" s="23" t="s">
        <v>88</v>
      </c>
    </row>
    <row r="7" spans="1:6" ht="75" customHeight="1" x14ac:dyDescent="0.2">
      <c r="A7" s="24">
        <v>1</v>
      </c>
      <c r="B7" s="23" t="s">
        <v>89</v>
      </c>
      <c r="C7" s="23" t="s">
        <v>90</v>
      </c>
      <c r="D7" s="30">
        <v>20</v>
      </c>
      <c r="E7" s="30">
        <v>-76.2</v>
      </c>
      <c r="F7" s="23" t="s">
        <v>91</v>
      </c>
    </row>
    <row r="8" spans="1:6" ht="75" customHeight="1" x14ac:dyDescent="0.2">
      <c r="A8" s="24">
        <v>2</v>
      </c>
      <c r="B8" s="23" t="s">
        <v>92</v>
      </c>
      <c r="C8" s="23" t="s">
        <v>93</v>
      </c>
      <c r="D8" s="30">
        <v>23.1</v>
      </c>
      <c r="E8" s="30">
        <v>-75</v>
      </c>
      <c r="F8" s="23" t="s">
        <v>94</v>
      </c>
    </row>
    <row r="9" spans="1:6" ht="75" customHeight="1" x14ac:dyDescent="0.2">
      <c r="A9" s="24">
        <v>3</v>
      </c>
      <c r="B9" s="23" t="s">
        <v>95</v>
      </c>
      <c r="C9" s="23" t="s">
        <v>96</v>
      </c>
      <c r="D9" s="30"/>
      <c r="E9" s="30"/>
      <c r="F9" s="23" t="s">
        <v>97</v>
      </c>
    </row>
    <row r="10" spans="1:6" ht="75" customHeight="1" x14ac:dyDescent="0.2">
      <c r="A10" s="24">
        <v>4</v>
      </c>
      <c r="B10" s="23" t="s">
        <v>105</v>
      </c>
      <c r="C10" s="23" t="s">
        <v>87</v>
      </c>
      <c r="D10" s="30">
        <v>18.09</v>
      </c>
      <c r="E10" s="30">
        <v>-77.97</v>
      </c>
      <c r="F10" s="23" t="s">
        <v>106</v>
      </c>
    </row>
    <row r="11" spans="1:6" ht="75" customHeight="1" x14ac:dyDescent="0.2">
      <c r="A11" s="24">
        <v>5</v>
      </c>
      <c r="B11" s="23" t="s">
        <v>107</v>
      </c>
      <c r="C11" s="23" t="s">
        <v>87</v>
      </c>
      <c r="D11" s="30">
        <v>18.440000000000001</v>
      </c>
      <c r="E11" s="30">
        <v>-77.75</v>
      </c>
      <c r="F11" s="23" t="s">
        <v>108</v>
      </c>
    </row>
    <row r="12" spans="1:6" ht="75" customHeight="1" x14ac:dyDescent="0.2">
      <c r="A12" s="24">
        <v>6</v>
      </c>
      <c r="B12" s="23" t="s">
        <v>109</v>
      </c>
      <c r="C12" s="23" t="s">
        <v>87</v>
      </c>
      <c r="D12" s="30">
        <v>18.399999999999999</v>
      </c>
      <c r="E12" s="30">
        <v>-77.28</v>
      </c>
      <c r="F12" s="23" t="s">
        <v>110</v>
      </c>
    </row>
    <row r="13" spans="1:6" ht="75" customHeight="1" x14ac:dyDescent="0.2">
      <c r="A13" s="24">
        <v>7</v>
      </c>
      <c r="B13" s="23" t="s">
        <v>111</v>
      </c>
      <c r="C13" s="23" t="s">
        <v>87</v>
      </c>
      <c r="D13" s="30">
        <v>18.170000000000002</v>
      </c>
      <c r="E13" s="30">
        <v>-77.72</v>
      </c>
      <c r="F13" s="23" t="s">
        <v>112</v>
      </c>
    </row>
    <row r="14" spans="1:6" ht="75" customHeight="1" x14ac:dyDescent="0.2">
      <c r="A14" s="24">
        <v>8</v>
      </c>
      <c r="B14" s="23" t="s">
        <v>113</v>
      </c>
      <c r="C14" s="23" t="s">
        <v>87</v>
      </c>
      <c r="D14" s="30">
        <v>17.98</v>
      </c>
      <c r="E14" s="30">
        <v>-77.75</v>
      </c>
      <c r="F14" s="23" t="s">
        <v>114</v>
      </c>
    </row>
    <row r="15" spans="1:6" ht="75" customHeight="1" x14ac:dyDescent="0.2">
      <c r="A15" s="24">
        <v>9</v>
      </c>
      <c r="B15" s="23" t="s">
        <v>115</v>
      </c>
      <c r="C15" s="23" t="s">
        <v>87</v>
      </c>
      <c r="D15" s="30">
        <v>17.920000000000002</v>
      </c>
      <c r="E15" s="30">
        <v>-77.760000000000005</v>
      </c>
      <c r="F15" s="23" t="s">
        <v>116</v>
      </c>
    </row>
    <row r="16" spans="1:6" ht="75" customHeight="1" x14ac:dyDescent="0.2">
      <c r="A16" s="24">
        <v>10</v>
      </c>
      <c r="B16" s="23" t="s">
        <v>117</v>
      </c>
      <c r="C16" s="23" t="s">
        <v>87</v>
      </c>
      <c r="D16" s="30">
        <v>18.47</v>
      </c>
      <c r="E16" s="30">
        <v>-77.73</v>
      </c>
      <c r="F16" s="23" t="s">
        <v>118</v>
      </c>
    </row>
    <row r="17" spans="1:6" ht="75" customHeight="1" x14ac:dyDescent="0.2">
      <c r="A17" s="24">
        <v>11</v>
      </c>
      <c r="B17" s="23" t="s">
        <v>119</v>
      </c>
      <c r="C17" s="23" t="s">
        <v>87</v>
      </c>
      <c r="D17" s="30">
        <v>18.41</v>
      </c>
      <c r="E17" s="30">
        <v>-77.38</v>
      </c>
      <c r="F17" s="23" t="s">
        <v>120</v>
      </c>
    </row>
    <row r="18" spans="1:6" ht="75" customHeight="1" x14ac:dyDescent="0.2">
      <c r="A18" s="24">
        <v>12</v>
      </c>
      <c r="B18" s="23" t="s">
        <v>121</v>
      </c>
      <c r="C18" s="23" t="s">
        <v>87</v>
      </c>
      <c r="D18" s="30">
        <v>18.2</v>
      </c>
      <c r="E18" s="30">
        <v>-77.260000000000005</v>
      </c>
      <c r="F18" s="23" t="s">
        <v>122</v>
      </c>
    </row>
    <row r="19" spans="1:6" ht="75" customHeight="1" x14ac:dyDescent="0.2">
      <c r="A19" s="24">
        <v>13</v>
      </c>
      <c r="B19" s="23" t="s">
        <v>123</v>
      </c>
      <c r="C19" s="23" t="s">
        <v>87</v>
      </c>
      <c r="D19" s="30">
        <v>18.07</v>
      </c>
      <c r="E19" s="30">
        <v>-76.75</v>
      </c>
      <c r="F19" s="23" t="s">
        <v>124</v>
      </c>
    </row>
    <row r="20" spans="1:6" ht="75" customHeight="1" x14ac:dyDescent="0.2">
      <c r="A20" s="24">
        <v>14</v>
      </c>
      <c r="B20" s="23" t="s">
        <v>125</v>
      </c>
      <c r="C20" s="23" t="s">
        <v>87</v>
      </c>
      <c r="D20" s="30">
        <v>18.03</v>
      </c>
      <c r="E20" s="30">
        <v>-76.650000000000006</v>
      </c>
      <c r="F20" s="23" t="s">
        <v>126</v>
      </c>
    </row>
    <row r="21" spans="1:6" ht="75" customHeight="1" x14ac:dyDescent="0.2">
      <c r="A21" s="24">
        <v>15</v>
      </c>
      <c r="B21" s="23" t="s">
        <v>127</v>
      </c>
      <c r="C21" s="23" t="s">
        <v>87</v>
      </c>
      <c r="D21" s="30">
        <v>18.5</v>
      </c>
      <c r="E21" s="30">
        <v>-77.91</v>
      </c>
      <c r="F21" s="23" t="s">
        <v>128</v>
      </c>
    </row>
    <row r="22" spans="1:6" ht="75" customHeight="1" x14ac:dyDescent="0.2">
      <c r="A22" s="24">
        <v>16</v>
      </c>
      <c r="B22" s="23" t="s">
        <v>129</v>
      </c>
      <c r="C22" s="23" t="s">
        <v>87</v>
      </c>
      <c r="D22" s="30">
        <v>17.940000000000001</v>
      </c>
      <c r="E22" s="30">
        <v>-76.77</v>
      </c>
      <c r="F22" s="23" t="s">
        <v>130</v>
      </c>
    </row>
    <row r="23" spans="1:6" ht="75" customHeight="1" x14ac:dyDescent="0.2">
      <c r="A23" s="24">
        <v>17</v>
      </c>
      <c r="B23" s="23" t="s">
        <v>131</v>
      </c>
      <c r="C23" s="23" t="s">
        <v>90</v>
      </c>
      <c r="D23" s="30"/>
      <c r="E23" s="30"/>
      <c r="F23" s="23" t="s">
        <v>132</v>
      </c>
    </row>
    <row r="24" spans="1:6" ht="75" customHeight="1" x14ac:dyDescent="0.2">
      <c r="A24" s="24">
        <v>18</v>
      </c>
      <c r="B24" s="23" t="s">
        <v>133</v>
      </c>
      <c r="C24" s="23" t="s">
        <v>90</v>
      </c>
      <c r="D24" s="30"/>
      <c r="E24" s="30"/>
      <c r="F24" s="23" t="s">
        <v>134</v>
      </c>
    </row>
    <row r="25" spans="1:6" ht="75" customHeight="1" x14ac:dyDescent="0.2">
      <c r="A25" s="24">
        <v>19</v>
      </c>
      <c r="B25" s="23" t="s">
        <v>135</v>
      </c>
      <c r="C25" s="23" t="s">
        <v>90</v>
      </c>
      <c r="D25" s="30"/>
      <c r="E25" s="30"/>
      <c r="F25" s="23" t="s">
        <v>136</v>
      </c>
    </row>
    <row r="26" spans="1:6" ht="75" customHeight="1" x14ac:dyDescent="0.2">
      <c r="A26" s="24">
        <v>20</v>
      </c>
      <c r="B26" s="23" t="s">
        <v>137</v>
      </c>
      <c r="C26" s="23" t="s">
        <v>90</v>
      </c>
      <c r="D26" s="30"/>
      <c r="E26" s="30"/>
      <c r="F26" s="23" t="s">
        <v>138</v>
      </c>
    </row>
    <row r="27" spans="1:6" ht="75" customHeight="1" x14ac:dyDescent="0.2">
      <c r="A27" s="24">
        <v>21</v>
      </c>
      <c r="B27" s="23" t="s">
        <v>139</v>
      </c>
      <c r="C27" s="23" t="s">
        <v>90</v>
      </c>
      <c r="D27" s="30"/>
      <c r="E27" s="30"/>
      <c r="F27" s="23" t="s">
        <v>140</v>
      </c>
    </row>
    <row r="28" spans="1:6" ht="75" customHeight="1" x14ac:dyDescent="0.2">
      <c r="A28" s="24">
        <v>22</v>
      </c>
      <c r="B28" s="23" t="s">
        <v>141</v>
      </c>
      <c r="C28" s="23" t="s">
        <v>93</v>
      </c>
      <c r="D28" s="30">
        <v>22.83</v>
      </c>
      <c r="E28" s="30">
        <v>-74.34</v>
      </c>
      <c r="F28" s="23" t="s">
        <v>142</v>
      </c>
    </row>
    <row r="29" spans="1:6" ht="75" customHeight="1" x14ac:dyDescent="0.2">
      <c r="A29" s="24">
        <v>23</v>
      </c>
      <c r="B29" s="23" t="s">
        <v>143</v>
      </c>
      <c r="C29" s="23" t="s">
        <v>93</v>
      </c>
      <c r="D29" s="30">
        <v>23.36</v>
      </c>
      <c r="E29" s="30">
        <v>-75.150000000000006</v>
      </c>
      <c r="F29" s="23" t="s">
        <v>144</v>
      </c>
    </row>
    <row r="30" spans="1:6" ht="75" customHeight="1" x14ac:dyDescent="0.2">
      <c r="A30" s="24">
        <v>24</v>
      </c>
      <c r="B30" s="23" t="s">
        <v>145</v>
      </c>
      <c r="C30" s="23" t="s">
        <v>93</v>
      </c>
      <c r="D30" s="30">
        <v>23.16</v>
      </c>
      <c r="E30" s="30">
        <v>-75.09</v>
      </c>
      <c r="F30" s="23" t="s">
        <v>146</v>
      </c>
    </row>
    <row r="31" spans="1:6" ht="75" customHeight="1" x14ac:dyDescent="0.2">
      <c r="A31" s="24">
        <v>25</v>
      </c>
      <c r="B31" s="23" t="s">
        <v>147</v>
      </c>
      <c r="C31" s="23" t="s">
        <v>93</v>
      </c>
      <c r="D31" s="30">
        <v>24.11</v>
      </c>
      <c r="E31" s="30">
        <v>-74.45</v>
      </c>
      <c r="F31" s="23" t="s">
        <v>148</v>
      </c>
    </row>
    <row r="32" spans="1:6" ht="75" customHeight="1" x14ac:dyDescent="0.2">
      <c r="A32" s="24">
        <v>26</v>
      </c>
      <c r="B32" s="23" t="s">
        <v>149</v>
      </c>
      <c r="C32" s="23" t="s">
        <v>150</v>
      </c>
      <c r="D32" s="30">
        <v>32.36</v>
      </c>
      <c r="E32" s="30">
        <v>-64.680000000000007</v>
      </c>
      <c r="F32" s="23" t="s">
        <v>151</v>
      </c>
    </row>
    <row r="33" spans="1:6" ht="75" customHeight="1" x14ac:dyDescent="0.2">
      <c r="A33" s="24">
        <v>27</v>
      </c>
      <c r="B33" s="23" t="s">
        <v>152</v>
      </c>
      <c r="C33" s="23" t="s">
        <v>150</v>
      </c>
      <c r="D33" s="30">
        <v>32.33</v>
      </c>
      <c r="E33" s="30">
        <v>-64.83</v>
      </c>
      <c r="F33" s="23" t="s">
        <v>153</v>
      </c>
    </row>
    <row r="34" spans="1:6" ht="75" customHeight="1" x14ac:dyDescent="0.2">
      <c r="A34" s="24">
        <v>28</v>
      </c>
      <c r="B34" s="23" t="s">
        <v>154</v>
      </c>
      <c r="C34" s="23" t="s">
        <v>96</v>
      </c>
      <c r="D34" s="30"/>
      <c r="E34" s="30"/>
      <c r="F34" s="23" t="s">
        <v>155</v>
      </c>
    </row>
    <row r="35" spans="1:6" ht="75" customHeight="1" x14ac:dyDescent="0.2">
      <c r="A35" s="24">
        <v>29</v>
      </c>
      <c r="B35" s="23" t="s">
        <v>156</v>
      </c>
      <c r="C35" s="23" t="s">
        <v>96</v>
      </c>
      <c r="D35" s="30"/>
      <c r="E35" s="30"/>
      <c r="F35" s="23" t="s">
        <v>157</v>
      </c>
    </row>
    <row r="36" spans="1:6" ht="75" customHeight="1" x14ac:dyDescent="0.2">
      <c r="A36" s="24">
        <v>30</v>
      </c>
      <c r="B36" s="23" t="s">
        <v>158</v>
      </c>
      <c r="C36" s="23" t="s">
        <v>96</v>
      </c>
      <c r="D36" s="30"/>
      <c r="E36" s="30"/>
      <c r="F36" s="23" t="s">
        <v>159</v>
      </c>
    </row>
    <row r="37" spans="1:6" ht="75" customHeight="1" x14ac:dyDescent="0.2">
      <c r="A37" s="24">
        <v>31</v>
      </c>
      <c r="B37" s="23" t="s">
        <v>160</v>
      </c>
      <c r="C37" s="23" t="s">
        <v>161</v>
      </c>
      <c r="D37" s="30"/>
      <c r="E37" s="30"/>
      <c r="F37" s="23" t="s">
        <v>162</v>
      </c>
    </row>
    <row r="38" spans="1:6" ht="75" customHeight="1" x14ac:dyDescent="0.2">
      <c r="A38" s="24">
        <v>32</v>
      </c>
      <c r="B38" s="23" t="s">
        <v>163</v>
      </c>
      <c r="C38" s="23" t="s">
        <v>161</v>
      </c>
      <c r="D38" s="30"/>
      <c r="E38" s="30"/>
      <c r="F38" s="23" t="s">
        <v>164</v>
      </c>
    </row>
    <row r="39" spans="1:6" ht="75" customHeight="1" x14ac:dyDescent="0.2">
      <c r="A39" s="24">
        <v>33</v>
      </c>
      <c r="B39" s="23" t="s">
        <v>165</v>
      </c>
      <c r="C39" s="23" t="s">
        <v>161</v>
      </c>
      <c r="D39" s="30"/>
      <c r="E39" s="30"/>
      <c r="F39" s="23" t="s">
        <v>166</v>
      </c>
    </row>
    <row r="40" spans="1:6" ht="75" customHeight="1" x14ac:dyDescent="0.2">
      <c r="A40" s="24">
        <v>34</v>
      </c>
      <c r="B40" s="23" t="s">
        <v>167</v>
      </c>
      <c r="C40" s="23" t="s">
        <v>168</v>
      </c>
      <c r="D40" s="30"/>
      <c r="E40" s="30"/>
      <c r="F40" s="23" t="s">
        <v>169</v>
      </c>
    </row>
    <row r="41" spans="1:6" ht="75" customHeight="1" x14ac:dyDescent="0.2">
      <c r="A41" s="24">
        <v>35</v>
      </c>
      <c r="B41" s="23" t="s">
        <v>269</v>
      </c>
      <c r="C41" s="23" t="s">
        <v>90</v>
      </c>
      <c r="D41" s="30">
        <v>22.2</v>
      </c>
      <c r="E41" s="30">
        <v>-83.7</v>
      </c>
      <c r="F41" s="23" t="s">
        <v>270</v>
      </c>
    </row>
    <row r="42" spans="1:6" ht="75" customHeight="1" x14ac:dyDescent="0.2">
      <c r="A42" s="24">
        <v>36</v>
      </c>
      <c r="B42" s="23" t="s">
        <v>271</v>
      </c>
      <c r="C42" s="23" t="s">
        <v>272</v>
      </c>
      <c r="D42" s="30">
        <v>24.6</v>
      </c>
      <c r="E42" s="30">
        <v>-82.9</v>
      </c>
      <c r="F42" s="23" t="s">
        <v>273</v>
      </c>
    </row>
    <row r="43" spans="1:6" ht="75" customHeight="1" x14ac:dyDescent="0.2">
      <c r="A43" s="24">
        <v>37</v>
      </c>
      <c r="B43" s="23" t="s">
        <v>274</v>
      </c>
      <c r="C43" s="23" t="s">
        <v>272</v>
      </c>
      <c r="D43" s="30">
        <v>26.7</v>
      </c>
      <c r="E43" s="30">
        <v>-82.2</v>
      </c>
      <c r="F43" s="23" t="s">
        <v>273</v>
      </c>
    </row>
    <row r="44" spans="1:6" ht="75" customHeight="1" x14ac:dyDescent="0.2">
      <c r="A44" s="24">
        <v>38</v>
      </c>
      <c r="B44" s="23" t="s">
        <v>275</v>
      </c>
      <c r="C44" s="23" t="s">
        <v>272</v>
      </c>
      <c r="D44" s="30">
        <v>26.8</v>
      </c>
      <c r="E44" s="30">
        <v>-82</v>
      </c>
      <c r="F44" s="23" t="s">
        <v>273</v>
      </c>
    </row>
    <row r="45" spans="1:6" ht="75" customHeight="1" x14ac:dyDescent="0.2">
      <c r="A45" s="24">
        <v>39</v>
      </c>
      <c r="B45" s="23" t="s">
        <v>276</v>
      </c>
      <c r="C45" s="23" t="s">
        <v>272</v>
      </c>
      <c r="D45" s="30">
        <v>33.299999999999997</v>
      </c>
      <c r="E45" s="30">
        <v>-79.2</v>
      </c>
      <c r="F45" s="23" t="s">
        <v>273</v>
      </c>
    </row>
    <row r="46" spans="1:6" ht="75" customHeight="1" x14ac:dyDescent="0.2">
      <c r="A46" s="24">
        <v>40</v>
      </c>
      <c r="B46" s="23" t="s">
        <v>277</v>
      </c>
      <c r="C46" s="23" t="s">
        <v>90</v>
      </c>
      <c r="D46" s="30"/>
      <c r="E46" s="30"/>
      <c r="F46" s="23" t="s">
        <v>278</v>
      </c>
    </row>
    <row r="47" spans="1:6" ht="75" customHeight="1" x14ac:dyDescent="0.2">
      <c r="A47" s="24">
        <v>41</v>
      </c>
      <c r="B47" s="23" t="s">
        <v>279</v>
      </c>
      <c r="C47" s="23" t="s">
        <v>90</v>
      </c>
      <c r="D47" s="30"/>
      <c r="E47" s="30"/>
      <c r="F47" s="23" t="s">
        <v>280</v>
      </c>
    </row>
    <row r="48" spans="1:6" ht="75" customHeight="1" x14ac:dyDescent="0.2">
      <c r="A48" s="24">
        <v>42</v>
      </c>
      <c r="B48" s="23" t="s">
        <v>281</v>
      </c>
      <c r="C48" s="23" t="s">
        <v>272</v>
      </c>
      <c r="D48" s="30"/>
      <c r="E48" s="30"/>
      <c r="F48" s="23" t="s">
        <v>282</v>
      </c>
    </row>
    <row r="49" spans="1:6" ht="75" customHeight="1" x14ac:dyDescent="0.2">
      <c r="A49" s="24">
        <v>43</v>
      </c>
      <c r="B49" s="23" t="s">
        <v>283</v>
      </c>
      <c r="C49" s="23" t="s">
        <v>272</v>
      </c>
      <c r="D49" s="30"/>
      <c r="E49" s="30"/>
      <c r="F49" s="23" t="s">
        <v>284</v>
      </c>
    </row>
    <row r="50" spans="1:6" ht="75" customHeight="1" x14ac:dyDescent="0.2">
      <c r="A50" s="24">
        <v>44</v>
      </c>
      <c r="B50" s="23" t="s">
        <v>285</v>
      </c>
      <c r="C50" s="23" t="s">
        <v>272</v>
      </c>
      <c r="D50" s="30"/>
      <c r="E50" s="30"/>
      <c r="F50" s="23" t="s">
        <v>286</v>
      </c>
    </row>
    <row r="51" spans="1:6" ht="75" customHeight="1" x14ac:dyDescent="0.2">
      <c r="A51" s="24">
        <v>45</v>
      </c>
      <c r="B51" s="23" t="s">
        <v>287</v>
      </c>
      <c r="C51" s="23" t="s">
        <v>272</v>
      </c>
      <c r="D51" s="30"/>
      <c r="E51" s="30"/>
      <c r="F51" s="23" t="s">
        <v>288</v>
      </c>
    </row>
    <row r="52" spans="1:6" ht="75" customHeight="1" x14ac:dyDescent="0.2">
      <c r="A52" s="24">
        <v>46</v>
      </c>
      <c r="B52" s="23" t="s">
        <v>289</v>
      </c>
      <c r="C52" s="23" t="s">
        <v>272</v>
      </c>
      <c r="D52" s="30"/>
      <c r="E52" s="30"/>
      <c r="F52" s="23" t="s">
        <v>290</v>
      </c>
    </row>
    <row r="53" spans="1:6" ht="75" customHeight="1" x14ac:dyDescent="0.2">
      <c r="A53" s="24">
        <v>47</v>
      </c>
      <c r="B53" s="23" t="s">
        <v>291</v>
      </c>
      <c r="C53" s="23" t="s">
        <v>272</v>
      </c>
      <c r="D53" s="30"/>
      <c r="E53" s="30"/>
      <c r="F53" s="23" t="s">
        <v>292</v>
      </c>
    </row>
    <row r="54" spans="1:6" ht="75" customHeight="1" x14ac:dyDescent="0.2">
      <c r="A54" s="24">
        <v>48</v>
      </c>
      <c r="B54" s="23" t="s">
        <v>293</v>
      </c>
      <c r="C54" s="23" t="s">
        <v>272</v>
      </c>
      <c r="D54" s="30"/>
      <c r="E54" s="30"/>
      <c r="F54" s="23" t="s">
        <v>294</v>
      </c>
    </row>
    <row r="55" spans="1:6" ht="75" customHeight="1" x14ac:dyDescent="0.2">
      <c r="A55" s="24">
        <v>49</v>
      </c>
      <c r="B55" s="23" t="s">
        <v>295</v>
      </c>
      <c r="C55" s="23" t="s">
        <v>272</v>
      </c>
      <c r="D55" s="30"/>
      <c r="E55" s="30"/>
      <c r="F55" s="23" t="s">
        <v>296</v>
      </c>
    </row>
    <row r="56" spans="1:6" ht="75" customHeight="1" x14ac:dyDescent="0.2">
      <c r="A56" s="24">
        <v>50</v>
      </c>
      <c r="B56" s="23" t="s">
        <v>297</v>
      </c>
      <c r="C56" s="23" t="s">
        <v>272</v>
      </c>
      <c r="D56" s="30"/>
      <c r="E56" s="30"/>
      <c r="F56" s="23" t="s">
        <v>298</v>
      </c>
    </row>
    <row r="57" spans="1:6" ht="75" customHeight="1" x14ac:dyDescent="0.2">
      <c r="A57" s="24">
        <v>51</v>
      </c>
      <c r="B57" s="23" t="s">
        <v>299</v>
      </c>
      <c r="C57" s="23" t="s">
        <v>272</v>
      </c>
      <c r="D57" s="30"/>
      <c r="E57" s="30"/>
      <c r="F57" s="23" t="s">
        <v>300</v>
      </c>
    </row>
    <row r="58" spans="1:6" ht="75" customHeight="1" x14ac:dyDescent="0.2">
      <c r="A58" s="24">
        <v>52</v>
      </c>
      <c r="B58" s="23" t="s">
        <v>301</v>
      </c>
      <c r="C58" s="23"/>
      <c r="D58" s="30">
        <v>22.6</v>
      </c>
      <c r="E58" s="30">
        <v>-78.099999999999994</v>
      </c>
      <c r="F58" s="23" t="s">
        <v>302</v>
      </c>
    </row>
    <row r="59" spans="1:6" ht="75" customHeight="1" x14ac:dyDescent="0.2">
      <c r="A59" s="24">
        <v>53</v>
      </c>
      <c r="B59" s="23" t="s">
        <v>301</v>
      </c>
      <c r="C59" s="23"/>
      <c r="D59" s="30">
        <v>23.4</v>
      </c>
      <c r="E59" s="30">
        <v>-82.6</v>
      </c>
      <c r="F59" s="23" t="s">
        <v>302</v>
      </c>
    </row>
    <row r="60" spans="1:6" ht="75" customHeight="1" x14ac:dyDescent="0.2">
      <c r="A60" s="24">
        <v>54</v>
      </c>
      <c r="B60" s="23" t="s">
        <v>301</v>
      </c>
      <c r="C60" s="23"/>
      <c r="D60" s="30">
        <v>23.4</v>
      </c>
      <c r="E60" s="30">
        <v>-82.1</v>
      </c>
      <c r="F60" s="23" t="s">
        <v>302</v>
      </c>
    </row>
    <row r="61" spans="1:6" ht="75" customHeight="1" x14ac:dyDescent="0.2">
      <c r="A61" s="24">
        <v>55</v>
      </c>
      <c r="B61" s="23" t="s">
        <v>301</v>
      </c>
      <c r="C61" s="23"/>
      <c r="D61" s="30">
        <v>23.4</v>
      </c>
      <c r="E61" s="30">
        <v>-81.599999999999994</v>
      </c>
      <c r="F61" s="23" t="s">
        <v>302</v>
      </c>
    </row>
    <row r="62" spans="1:6" ht="75" customHeight="1" x14ac:dyDescent="0.2">
      <c r="A62" s="24">
        <v>56</v>
      </c>
      <c r="B62" s="23" t="s">
        <v>301</v>
      </c>
      <c r="C62" s="23"/>
      <c r="D62" s="30">
        <v>23.4</v>
      </c>
      <c r="E62" s="30">
        <v>-81.7</v>
      </c>
      <c r="F62" s="23" t="s">
        <v>302</v>
      </c>
    </row>
    <row r="63" spans="1:6" ht="75" customHeight="1" x14ac:dyDescent="0.2">
      <c r="A63" s="24">
        <v>57</v>
      </c>
      <c r="B63" s="23" t="s">
        <v>301</v>
      </c>
      <c r="C63" s="23"/>
      <c r="D63" s="30">
        <v>23.4</v>
      </c>
      <c r="E63" s="30">
        <v>-81.8</v>
      </c>
      <c r="F63" s="23" t="s">
        <v>302</v>
      </c>
    </row>
    <row r="64" spans="1:6" ht="75" customHeight="1" x14ac:dyDescent="0.2">
      <c r="A64" s="24">
        <v>58</v>
      </c>
      <c r="B64" s="23" t="s">
        <v>301</v>
      </c>
      <c r="C64" s="23"/>
      <c r="D64" s="30">
        <v>23.4</v>
      </c>
      <c r="E64" s="30">
        <v>-81.2</v>
      </c>
      <c r="F64" s="23" t="s">
        <v>302</v>
      </c>
    </row>
    <row r="65" spans="1:6" ht="75" customHeight="1" x14ac:dyDescent="0.2">
      <c r="A65" s="24">
        <v>59</v>
      </c>
      <c r="B65" s="23" t="s">
        <v>301</v>
      </c>
      <c r="C65" s="23"/>
      <c r="D65" s="30">
        <v>24.5</v>
      </c>
      <c r="E65" s="30">
        <v>-79.400000000000006</v>
      </c>
      <c r="F65" s="23" t="s">
        <v>302</v>
      </c>
    </row>
    <row r="66" spans="1:6" ht="75" customHeight="1" x14ac:dyDescent="0.2">
      <c r="A66" s="24">
        <v>60</v>
      </c>
      <c r="B66" s="23" t="s">
        <v>301</v>
      </c>
      <c r="C66" s="23"/>
      <c r="D66" s="30">
        <v>25.7</v>
      </c>
      <c r="E66" s="30">
        <v>-79.8</v>
      </c>
      <c r="F66" s="23" t="s">
        <v>302</v>
      </c>
    </row>
    <row r="67" spans="1:6" ht="75" customHeight="1" x14ac:dyDescent="0.2">
      <c r="A67" s="24">
        <v>61</v>
      </c>
      <c r="B67" s="23" t="s">
        <v>301</v>
      </c>
      <c r="C67" s="23"/>
      <c r="D67" s="30">
        <v>25.8</v>
      </c>
      <c r="E67" s="30">
        <v>-79.400000000000006</v>
      </c>
      <c r="F67" s="23" t="s">
        <v>302</v>
      </c>
    </row>
    <row r="68" spans="1:6" ht="75" customHeight="1" x14ac:dyDescent="0.2">
      <c r="A68" s="24">
        <v>62</v>
      </c>
      <c r="B68" s="23" t="s">
        <v>301</v>
      </c>
      <c r="C68" s="23"/>
      <c r="D68" s="30">
        <v>28.9</v>
      </c>
      <c r="E68" s="30">
        <v>-89.3</v>
      </c>
      <c r="F68" s="23" t="s">
        <v>302</v>
      </c>
    </row>
    <row r="69" spans="1:6" ht="75" customHeight="1" x14ac:dyDescent="0.2">
      <c r="A69" s="24">
        <v>63</v>
      </c>
      <c r="B69" s="23" t="s">
        <v>301</v>
      </c>
      <c r="C69" s="23"/>
      <c r="D69" s="30">
        <v>24.8</v>
      </c>
      <c r="E69" s="30">
        <v>-79.599999999999994</v>
      </c>
      <c r="F69" s="23" t="s">
        <v>302</v>
      </c>
    </row>
    <row r="70" spans="1:6" ht="75" customHeight="1" x14ac:dyDescent="0.2">
      <c r="A70" s="24">
        <v>64</v>
      </c>
      <c r="B70" s="23" t="s">
        <v>301</v>
      </c>
      <c r="C70" s="23"/>
      <c r="D70" s="30">
        <v>24.2</v>
      </c>
      <c r="E70" s="30">
        <v>-80.099999999999994</v>
      </c>
      <c r="F70" s="23" t="s">
        <v>302</v>
      </c>
    </row>
    <row r="71" spans="1:6" ht="75" customHeight="1" x14ac:dyDescent="0.2">
      <c r="A71" s="24">
        <v>65</v>
      </c>
      <c r="B71" s="23" t="s">
        <v>301</v>
      </c>
      <c r="C71" s="23"/>
      <c r="D71" s="30">
        <v>25</v>
      </c>
      <c r="E71" s="30">
        <v>-79.5</v>
      </c>
      <c r="F71" s="23" t="s">
        <v>302</v>
      </c>
    </row>
    <row r="72" spans="1:6" ht="75" customHeight="1" x14ac:dyDescent="0.2">
      <c r="A72" s="24">
        <v>66</v>
      </c>
      <c r="B72" s="23" t="s">
        <v>301</v>
      </c>
      <c r="C72" s="23"/>
      <c r="D72" s="30">
        <v>31.8</v>
      </c>
      <c r="E72" s="30">
        <v>-79.599999999999994</v>
      </c>
      <c r="F72" s="23" t="s">
        <v>302</v>
      </c>
    </row>
    <row r="73" spans="1:6" ht="75" customHeight="1" x14ac:dyDescent="0.2">
      <c r="A73" s="24">
        <v>67</v>
      </c>
      <c r="B73" s="23" t="s">
        <v>301</v>
      </c>
      <c r="C73" s="23"/>
      <c r="D73" s="30">
        <v>24.6</v>
      </c>
      <c r="E73" s="30">
        <v>-79.7</v>
      </c>
      <c r="F73" s="23" t="s">
        <v>302</v>
      </c>
    </row>
    <row r="74" spans="1:6" ht="75" customHeight="1" x14ac:dyDescent="0.2">
      <c r="A74" s="24">
        <v>68</v>
      </c>
      <c r="B74" s="23" t="s">
        <v>301</v>
      </c>
      <c r="C74" s="23"/>
      <c r="D74" s="30">
        <v>26.2</v>
      </c>
      <c r="E74" s="30">
        <v>-79.7</v>
      </c>
      <c r="F74" s="23" t="s">
        <v>302</v>
      </c>
    </row>
    <row r="75" spans="1:6" ht="75" customHeight="1" x14ac:dyDescent="0.2">
      <c r="A75" s="24">
        <v>69</v>
      </c>
      <c r="B75" s="23" t="s">
        <v>301</v>
      </c>
      <c r="C75" s="23"/>
      <c r="D75" s="30">
        <v>29</v>
      </c>
      <c r="E75" s="30">
        <v>-80.400000000000006</v>
      </c>
      <c r="F75" s="23" t="s">
        <v>302</v>
      </c>
    </row>
    <row r="76" spans="1:6" ht="75" customHeight="1" x14ac:dyDescent="0.2">
      <c r="A76" s="24">
        <v>70</v>
      </c>
      <c r="B76" s="23" t="s">
        <v>301</v>
      </c>
      <c r="C76" s="23"/>
      <c r="D76" s="30">
        <v>31.9</v>
      </c>
      <c r="E76" s="30">
        <v>-78.099999999999994</v>
      </c>
      <c r="F76" s="23" t="s">
        <v>302</v>
      </c>
    </row>
    <row r="77" spans="1:6" ht="75" customHeight="1" x14ac:dyDescent="0.2">
      <c r="A77" s="24">
        <v>71</v>
      </c>
      <c r="B77" s="23" t="s">
        <v>301</v>
      </c>
      <c r="C77" s="23"/>
      <c r="D77" s="30">
        <v>31.3</v>
      </c>
      <c r="E77" s="30">
        <v>-77.3</v>
      </c>
      <c r="F77" s="23" t="s">
        <v>302</v>
      </c>
    </row>
    <row r="78" spans="1:6" ht="75" customHeight="1" x14ac:dyDescent="0.2">
      <c r="A78" s="24">
        <v>72</v>
      </c>
      <c r="B78" s="23" t="s">
        <v>301</v>
      </c>
      <c r="C78" s="23"/>
      <c r="D78" s="30">
        <v>29</v>
      </c>
      <c r="E78" s="30">
        <v>-80.2</v>
      </c>
      <c r="F78" s="23" t="s">
        <v>302</v>
      </c>
    </row>
    <row r="79" spans="1:6" ht="75" customHeight="1" x14ac:dyDescent="0.2">
      <c r="A79" s="24">
        <v>73</v>
      </c>
      <c r="B79" s="23" t="s">
        <v>301</v>
      </c>
      <c r="C79" s="23"/>
      <c r="D79" s="30">
        <v>29</v>
      </c>
      <c r="E79" s="30">
        <v>-80.099999999999994</v>
      </c>
      <c r="F79" s="23" t="s">
        <v>302</v>
      </c>
    </row>
    <row r="80" spans="1:6" ht="75" customHeight="1" x14ac:dyDescent="0.2">
      <c r="A80" s="24">
        <v>74</v>
      </c>
      <c r="B80" s="23" t="s">
        <v>301</v>
      </c>
      <c r="C80" s="23"/>
      <c r="D80" s="30">
        <v>32.9</v>
      </c>
      <c r="E80" s="30">
        <v>-77.599999999999994</v>
      </c>
      <c r="F80" s="23" t="s">
        <v>302</v>
      </c>
    </row>
    <row r="81" spans="1:6" ht="75" customHeight="1" x14ac:dyDescent="0.2">
      <c r="A81" s="24">
        <v>75</v>
      </c>
      <c r="B81" s="23" t="s">
        <v>301</v>
      </c>
      <c r="C81" s="23"/>
      <c r="D81" s="30">
        <v>29</v>
      </c>
      <c r="E81" s="30">
        <v>-80</v>
      </c>
      <c r="F81" s="23" t="s">
        <v>302</v>
      </c>
    </row>
    <row r="82" spans="1:6" ht="75" customHeight="1" x14ac:dyDescent="0.2">
      <c r="A82" s="24">
        <v>76</v>
      </c>
      <c r="B82" s="23" t="s">
        <v>301</v>
      </c>
      <c r="C82" s="23"/>
      <c r="D82" s="30">
        <v>28.9</v>
      </c>
      <c r="E82" s="30">
        <v>-80</v>
      </c>
      <c r="F82" s="23" t="s">
        <v>302</v>
      </c>
    </row>
    <row r="83" spans="1:6" ht="75" customHeight="1" x14ac:dyDescent="0.2">
      <c r="A83" s="24">
        <v>77</v>
      </c>
      <c r="B83" s="23" t="s">
        <v>301</v>
      </c>
      <c r="C83" s="23"/>
      <c r="D83" s="30">
        <v>31.1</v>
      </c>
      <c r="E83" s="30">
        <v>-74.8</v>
      </c>
      <c r="F83" s="23" t="s">
        <v>302</v>
      </c>
    </row>
    <row r="84" spans="1:6" ht="75" customHeight="1" x14ac:dyDescent="0.2">
      <c r="A84" s="24">
        <v>78</v>
      </c>
      <c r="B84" s="23" t="s">
        <v>301</v>
      </c>
      <c r="C84" s="23"/>
      <c r="D84" s="30">
        <v>36.5</v>
      </c>
      <c r="E84" s="30">
        <v>-75.2</v>
      </c>
      <c r="F84" s="23" t="s">
        <v>302</v>
      </c>
    </row>
    <row r="85" spans="1:6" ht="75" customHeight="1" x14ac:dyDescent="0.2">
      <c r="A85" s="24">
        <v>79</v>
      </c>
      <c r="B85" s="23" t="s">
        <v>301</v>
      </c>
      <c r="C85" s="23"/>
      <c r="D85" s="30">
        <v>32</v>
      </c>
      <c r="E85" s="30">
        <v>-72.400000000000006</v>
      </c>
      <c r="F85" s="23" t="s">
        <v>302</v>
      </c>
    </row>
    <row r="86" spans="1:6" ht="75" customHeight="1" x14ac:dyDescent="0.2">
      <c r="A86" s="24">
        <v>80</v>
      </c>
      <c r="B86" s="23" t="s">
        <v>301</v>
      </c>
      <c r="C86" s="23"/>
      <c r="D86" s="30">
        <v>32.4</v>
      </c>
      <c r="E86" s="30">
        <v>-75.599999999999994</v>
      </c>
      <c r="F86" s="23" t="s">
        <v>302</v>
      </c>
    </row>
    <row r="87" spans="1:6" ht="75" customHeight="1" x14ac:dyDescent="0.2">
      <c r="A87" s="24">
        <v>81</v>
      </c>
      <c r="B87" s="23" t="s">
        <v>301</v>
      </c>
      <c r="C87" s="23"/>
      <c r="D87" s="30">
        <v>32.299999999999997</v>
      </c>
      <c r="E87" s="30">
        <v>-75.7</v>
      </c>
      <c r="F87" s="23" t="s">
        <v>302</v>
      </c>
    </row>
    <row r="88" spans="1:6" ht="75" customHeight="1" x14ac:dyDescent="0.2">
      <c r="A88" s="24">
        <v>82</v>
      </c>
      <c r="B88" s="23" t="s">
        <v>301</v>
      </c>
      <c r="C88" s="23"/>
      <c r="D88" s="30">
        <v>36.6</v>
      </c>
      <c r="E88" s="30">
        <v>-75.099999999999994</v>
      </c>
      <c r="F88" s="23" t="s">
        <v>302</v>
      </c>
    </row>
    <row r="89" spans="1:6" ht="75" customHeight="1" x14ac:dyDescent="0.2">
      <c r="A89" s="24">
        <v>83</v>
      </c>
      <c r="B89" s="23" t="s">
        <v>347</v>
      </c>
      <c r="C89" s="23" t="s">
        <v>348</v>
      </c>
      <c r="D89" s="30">
        <v>16.399999999999999</v>
      </c>
      <c r="E89" s="30">
        <v>-61.4</v>
      </c>
      <c r="F89" s="23" t="s">
        <v>349</v>
      </c>
    </row>
    <row r="90" spans="1:6" ht="75" customHeight="1" x14ac:dyDescent="0.2">
      <c r="A90" s="24">
        <v>84</v>
      </c>
      <c r="B90" s="23" t="s">
        <v>350</v>
      </c>
      <c r="C90" s="23" t="s">
        <v>351</v>
      </c>
      <c r="D90" s="30">
        <v>18</v>
      </c>
      <c r="E90" s="30">
        <v>-67.099999999999994</v>
      </c>
      <c r="F90" s="23" t="s">
        <v>352</v>
      </c>
    </row>
    <row r="91" spans="1:6" ht="75" customHeight="1" x14ac:dyDescent="0.2">
      <c r="A91" s="24">
        <v>85</v>
      </c>
      <c r="B91" s="23" t="s">
        <v>353</v>
      </c>
      <c r="C91" s="23" t="s">
        <v>161</v>
      </c>
      <c r="D91" s="30">
        <v>18.399999999999999</v>
      </c>
      <c r="E91" s="30">
        <v>-68.5</v>
      </c>
      <c r="F91" s="23" t="s">
        <v>354</v>
      </c>
    </row>
    <row r="92" spans="1:6" ht="75" customHeight="1" x14ac:dyDescent="0.2">
      <c r="A92" s="24">
        <v>86</v>
      </c>
      <c r="B92" s="23" t="s">
        <v>355</v>
      </c>
      <c r="C92" s="23" t="s">
        <v>356</v>
      </c>
      <c r="D92" s="30">
        <v>21.4</v>
      </c>
      <c r="E92" s="30">
        <v>-71.099999999999994</v>
      </c>
      <c r="F92" s="23" t="s">
        <v>357</v>
      </c>
    </row>
    <row r="93" spans="1:6" ht="75" customHeight="1" x14ac:dyDescent="0.2">
      <c r="A93" s="24">
        <v>87</v>
      </c>
      <c r="B93" s="23" t="s">
        <v>358</v>
      </c>
      <c r="C93" s="23" t="s">
        <v>359</v>
      </c>
      <c r="D93" s="30">
        <v>45.2</v>
      </c>
      <c r="E93" s="30">
        <v>-61.2</v>
      </c>
      <c r="F93" s="23" t="s">
        <v>360</v>
      </c>
    </row>
    <row r="94" spans="1:6" ht="75" customHeight="1" x14ac:dyDescent="0.2">
      <c r="A94" s="24">
        <v>88</v>
      </c>
      <c r="B94" s="23" t="s">
        <v>361</v>
      </c>
      <c r="C94" s="23" t="s">
        <v>359</v>
      </c>
      <c r="D94" s="30">
        <v>51.3</v>
      </c>
      <c r="E94" s="30">
        <v>-58.3</v>
      </c>
      <c r="F94" s="23" t="s">
        <v>362</v>
      </c>
    </row>
    <row r="95" spans="1:6" ht="75" customHeight="1" x14ac:dyDescent="0.2">
      <c r="A95" s="24">
        <v>89</v>
      </c>
      <c r="B95" s="23" t="s">
        <v>363</v>
      </c>
      <c r="C95" s="23" t="s">
        <v>348</v>
      </c>
      <c r="D95" s="30">
        <v>16.3</v>
      </c>
      <c r="E95" s="30">
        <v>-61.08</v>
      </c>
      <c r="F95" s="23" t="s">
        <v>364</v>
      </c>
    </row>
    <row r="96" spans="1:6" ht="75" customHeight="1" x14ac:dyDescent="0.2">
      <c r="A96" s="24">
        <v>90</v>
      </c>
      <c r="B96" s="23" t="s">
        <v>365</v>
      </c>
      <c r="C96" s="23" t="s">
        <v>348</v>
      </c>
      <c r="D96" s="30">
        <v>16.05</v>
      </c>
      <c r="E96" s="30">
        <v>-61.69</v>
      </c>
      <c r="F96" s="23" t="s">
        <v>366</v>
      </c>
    </row>
    <row r="97" spans="1:6" ht="75" customHeight="1" x14ac:dyDescent="0.2">
      <c r="A97" s="24">
        <v>91</v>
      </c>
      <c r="B97" s="23" t="s">
        <v>367</v>
      </c>
      <c r="C97" s="23" t="s">
        <v>351</v>
      </c>
      <c r="D97" s="30">
        <v>18.02</v>
      </c>
      <c r="E97" s="30">
        <v>-65.86</v>
      </c>
      <c r="F97" s="23" t="s">
        <v>368</v>
      </c>
    </row>
    <row r="98" spans="1:6" ht="75" customHeight="1" x14ac:dyDescent="0.2">
      <c r="A98" s="24">
        <v>92</v>
      </c>
      <c r="B98" s="23" t="s">
        <v>369</v>
      </c>
      <c r="C98" s="23" t="s">
        <v>351</v>
      </c>
      <c r="D98" s="30">
        <v>17.96</v>
      </c>
      <c r="E98" s="30">
        <v>-66.62</v>
      </c>
      <c r="F98" s="23" t="s">
        <v>370</v>
      </c>
    </row>
    <row r="99" spans="1:6" ht="75" customHeight="1" x14ac:dyDescent="0.2">
      <c r="A99" s="24">
        <v>93</v>
      </c>
      <c r="B99" s="23" t="s">
        <v>371</v>
      </c>
      <c r="C99" s="23" t="s">
        <v>351</v>
      </c>
      <c r="D99" s="30">
        <v>17.93</v>
      </c>
      <c r="E99" s="30">
        <v>-66.16</v>
      </c>
      <c r="F99" s="23" t="s">
        <v>368</v>
      </c>
    </row>
    <row r="100" spans="1:6" ht="75" customHeight="1" x14ac:dyDescent="0.2">
      <c r="A100" s="24">
        <v>94</v>
      </c>
      <c r="B100" s="23" t="s">
        <v>372</v>
      </c>
      <c r="C100" s="23" t="s">
        <v>351</v>
      </c>
      <c r="D100" s="30">
        <v>17.97</v>
      </c>
      <c r="E100" s="30">
        <v>-67.05</v>
      </c>
      <c r="F100" s="23" t="s">
        <v>368</v>
      </c>
    </row>
    <row r="101" spans="1:6" ht="75" customHeight="1" x14ac:dyDescent="0.2">
      <c r="A101" s="24">
        <v>95</v>
      </c>
      <c r="B101" s="23" t="s">
        <v>373</v>
      </c>
      <c r="C101" s="23" t="s">
        <v>351</v>
      </c>
      <c r="D101" s="30">
        <v>18.11</v>
      </c>
      <c r="E101" s="30">
        <v>-66.599999999999994</v>
      </c>
      <c r="F101" s="23" t="s">
        <v>374</v>
      </c>
    </row>
    <row r="102" spans="1:6" ht="75" customHeight="1" x14ac:dyDescent="0.2">
      <c r="A102" s="24">
        <v>96</v>
      </c>
      <c r="B102" s="23" t="s">
        <v>375</v>
      </c>
      <c r="C102" s="23" t="s">
        <v>376</v>
      </c>
      <c r="D102" s="30">
        <v>18.28</v>
      </c>
      <c r="E102" s="30">
        <v>-64.89</v>
      </c>
      <c r="F102" s="23" t="s">
        <v>377</v>
      </c>
    </row>
    <row r="103" spans="1:6" ht="75" customHeight="1" x14ac:dyDescent="0.2">
      <c r="A103" s="24">
        <v>97</v>
      </c>
      <c r="B103" s="23" t="s">
        <v>378</v>
      </c>
      <c r="C103" s="23" t="s">
        <v>376</v>
      </c>
      <c r="D103" s="30">
        <v>17.75</v>
      </c>
      <c r="E103" s="30">
        <v>-64.87</v>
      </c>
      <c r="F103" s="23" t="s">
        <v>379</v>
      </c>
    </row>
    <row r="104" spans="1:6" ht="75" customHeight="1" x14ac:dyDescent="0.2">
      <c r="A104" s="24">
        <v>98</v>
      </c>
      <c r="B104" s="23" t="s">
        <v>380</v>
      </c>
      <c r="C104" s="23" t="s">
        <v>161</v>
      </c>
      <c r="D104" s="30">
        <v>19.27</v>
      </c>
      <c r="E104" s="30">
        <v>-69.73</v>
      </c>
      <c r="F104" s="23" t="s">
        <v>381</v>
      </c>
    </row>
    <row r="105" spans="1:6" x14ac:dyDescent="0.2">
      <c r="A105" s="13"/>
      <c r="B105" s="13"/>
      <c r="C105" s="13"/>
      <c r="D105" s="13"/>
      <c r="E105" s="13"/>
      <c r="F105" s="13"/>
    </row>
  </sheetData>
  <mergeCells count="3">
    <mergeCell ref="A1:F1"/>
    <mergeCell ref="A2:F2"/>
    <mergeCell ref="A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9FA4-E954-CA49-ABDD-C76C6376E39F}">
  <dimension ref="A1:F54"/>
  <sheetViews>
    <sheetView workbookViewId="0">
      <pane ySplit="5" topLeftCell="A6" activePane="bottomLeft" state="frozen"/>
      <selection pane="bottomLeft"/>
    </sheetView>
  </sheetViews>
  <sheetFormatPr baseColWidth="10" defaultRowHeight="15" x14ac:dyDescent="0.2"/>
  <cols>
    <col min="1" max="1" width="21.6640625" customWidth="1"/>
    <col min="2" max="5" width="16.6640625" customWidth="1"/>
    <col min="6" max="6" width="21.6640625" customWidth="1"/>
  </cols>
  <sheetData>
    <row r="1" spans="1:6" ht="32.25" customHeight="1" x14ac:dyDescent="0.2">
      <c r="A1" s="19" t="s">
        <v>75</v>
      </c>
      <c r="B1" s="19"/>
      <c r="C1" s="19"/>
      <c r="D1" s="19"/>
      <c r="E1" s="19"/>
      <c r="F1" s="19"/>
    </row>
    <row r="2" spans="1:6" ht="21.75" customHeight="1" x14ac:dyDescent="0.2">
      <c r="A2" s="20" t="s">
        <v>76</v>
      </c>
      <c r="B2" s="20"/>
      <c r="C2" s="20"/>
      <c r="D2" s="20"/>
      <c r="E2" s="20"/>
      <c r="F2" s="20"/>
    </row>
    <row r="3" spans="1:6" ht="21.75" customHeight="1" x14ac:dyDescent="0.2">
      <c r="A3" s="21" t="s">
        <v>77</v>
      </c>
      <c r="B3" s="21"/>
      <c r="C3" s="21"/>
      <c r="D3" s="21"/>
      <c r="E3" s="21"/>
      <c r="F3" s="21"/>
    </row>
    <row r="4" spans="1:6" ht="9" customHeight="1" x14ac:dyDescent="0.2">
      <c r="A4" s="18"/>
      <c r="B4" s="18"/>
      <c r="C4" s="18"/>
      <c r="D4" s="18"/>
      <c r="E4" s="18"/>
      <c r="F4" s="18"/>
    </row>
    <row r="5" spans="1:6" ht="30" customHeight="1" x14ac:dyDescent="0.2">
      <c r="A5" s="22" t="s">
        <v>78</v>
      </c>
      <c r="B5" s="22" t="s">
        <v>79</v>
      </c>
      <c r="C5" s="22" t="s">
        <v>74</v>
      </c>
      <c r="D5" s="22" t="s">
        <v>80</v>
      </c>
      <c r="E5" s="22" t="s">
        <v>81</v>
      </c>
      <c r="F5" s="22" t="s">
        <v>82</v>
      </c>
    </row>
    <row r="6" spans="1:6" ht="75" customHeight="1" x14ac:dyDescent="0.2">
      <c r="A6" s="31">
        <v>45951.25</v>
      </c>
      <c r="B6" s="27">
        <v>14</v>
      </c>
      <c r="C6" s="27">
        <v>-70</v>
      </c>
      <c r="D6" s="32">
        <v>1003</v>
      </c>
      <c r="E6" s="32">
        <v>40</v>
      </c>
      <c r="F6" s="23" t="s">
        <v>83</v>
      </c>
    </row>
    <row r="7" spans="1:6" ht="75" customHeight="1" x14ac:dyDescent="0.2">
      <c r="A7" s="31">
        <v>45951.5</v>
      </c>
      <c r="B7" s="27">
        <v>14</v>
      </c>
      <c r="C7" s="27">
        <v>-71.400000000000006</v>
      </c>
      <c r="D7" s="32">
        <v>1003</v>
      </c>
      <c r="E7" s="32">
        <v>45</v>
      </c>
      <c r="F7" s="23" t="s">
        <v>83</v>
      </c>
    </row>
    <row r="8" spans="1:6" ht="75" customHeight="1" x14ac:dyDescent="0.2">
      <c r="A8" s="31">
        <v>45951.75</v>
      </c>
      <c r="B8" s="27">
        <v>14</v>
      </c>
      <c r="C8" s="27">
        <v>-72.400000000000006</v>
      </c>
      <c r="D8" s="32">
        <v>1003</v>
      </c>
      <c r="E8" s="32">
        <v>45</v>
      </c>
      <c r="F8" s="23" t="s">
        <v>83</v>
      </c>
    </row>
    <row r="9" spans="1:6" ht="75" customHeight="1" x14ac:dyDescent="0.2">
      <c r="A9" s="31">
        <v>45952</v>
      </c>
      <c r="B9" s="27">
        <v>14.1</v>
      </c>
      <c r="C9" s="27">
        <v>-73.3</v>
      </c>
      <c r="D9" s="32">
        <v>1003</v>
      </c>
      <c r="E9" s="32">
        <v>45</v>
      </c>
      <c r="F9" s="23" t="s">
        <v>83</v>
      </c>
    </row>
    <row r="10" spans="1:6" ht="75" customHeight="1" x14ac:dyDescent="0.2">
      <c r="A10" s="31">
        <v>45952.25</v>
      </c>
      <c r="B10" s="27">
        <v>14.2</v>
      </c>
      <c r="C10" s="27">
        <v>-73.5</v>
      </c>
      <c r="D10" s="32">
        <v>1002</v>
      </c>
      <c r="E10" s="32">
        <v>45</v>
      </c>
      <c r="F10" s="23" t="s">
        <v>83</v>
      </c>
    </row>
    <row r="11" spans="1:6" ht="75" customHeight="1" x14ac:dyDescent="0.2">
      <c r="A11" s="31">
        <v>45952.5</v>
      </c>
      <c r="B11" s="27">
        <v>14.3</v>
      </c>
      <c r="C11" s="27">
        <v>-73.7</v>
      </c>
      <c r="D11" s="32">
        <v>1002</v>
      </c>
      <c r="E11" s="32">
        <v>45</v>
      </c>
      <c r="F11" s="23" t="s">
        <v>83</v>
      </c>
    </row>
    <row r="12" spans="1:6" ht="75" customHeight="1" x14ac:dyDescent="0.2">
      <c r="A12" s="31">
        <v>45952.75</v>
      </c>
      <c r="B12" s="27">
        <v>14.3</v>
      </c>
      <c r="C12" s="27">
        <v>-74.099999999999994</v>
      </c>
      <c r="D12" s="32">
        <v>1002</v>
      </c>
      <c r="E12" s="32">
        <v>45</v>
      </c>
      <c r="F12" s="23" t="s">
        <v>83</v>
      </c>
    </row>
    <row r="13" spans="1:6" ht="75" customHeight="1" x14ac:dyDescent="0.2">
      <c r="A13" s="31">
        <v>45953</v>
      </c>
      <c r="B13" s="27">
        <v>14.3</v>
      </c>
      <c r="C13" s="27">
        <v>-74.5</v>
      </c>
      <c r="D13" s="32">
        <v>1002</v>
      </c>
      <c r="E13" s="32">
        <v>45</v>
      </c>
      <c r="F13" s="23" t="s">
        <v>83</v>
      </c>
    </row>
    <row r="14" spans="1:6" ht="75" customHeight="1" x14ac:dyDescent="0.2">
      <c r="A14" s="31">
        <v>45953.25</v>
      </c>
      <c r="B14" s="27">
        <v>14.7</v>
      </c>
      <c r="C14" s="27">
        <v>-74.8</v>
      </c>
      <c r="D14" s="32">
        <v>1003</v>
      </c>
      <c r="E14" s="32">
        <v>40</v>
      </c>
      <c r="F14" s="23" t="s">
        <v>83</v>
      </c>
    </row>
    <row r="15" spans="1:6" ht="75" customHeight="1" x14ac:dyDescent="0.2">
      <c r="A15" s="31">
        <v>45953.5</v>
      </c>
      <c r="B15" s="27">
        <v>15.2</v>
      </c>
      <c r="C15" s="27">
        <v>-75</v>
      </c>
      <c r="D15" s="32">
        <v>1003</v>
      </c>
      <c r="E15" s="32">
        <v>40</v>
      </c>
      <c r="F15" s="23" t="s">
        <v>83</v>
      </c>
    </row>
    <row r="16" spans="1:6" ht="75" customHeight="1" x14ac:dyDescent="0.2">
      <c r="A16" s="31">
        <v>45953.75</v>
      </c>
      <c r="B16" s="27">
        <v>15.5</v>
      </c>
      <c r="C16" s="27">
        <v>-75.3</v>
      </c>
      <c r="D16" s="32">
        <v>1002</v>
      </c>
      <c r="E16" s="32">
        <v>40</v>
      </c>
      <c r="F16" s="23" t="s">
        <v>83</v>
      </c>
    </row>
    <row r="17" spans="1:6" ht="75" customHeight="1" x14ac:dyDescent="0.2">
      <c r="A17" s="31">
        <v>45954</v>
      </c>
      <c r="B17" s="27">
        <v>15.7</v>
      </c>
      <c r="C17" s="27">
        <v>-75.5</v>
      </c>
      <c r="D17" s="32">
        <v>1002</v>
      </c>
      <c r="E17" s="32">
        <v>40</v>
      </c>
      <c r="F17" s="23" t="s">
        <v>83</v>
      </c>
    </row>
    <row r="18" spans="1:6" ht="75" customHeight="1" x14ac:dyDescent="0.2">
      <c r="A18" s="31">
        <v>45954.25</v>
      </c>
      <c r="B18" s="27">
        <v>15.8</v>
      </c>
      <c r="C18" s="27">
        <v>-75.3</v>
      </c>
      <c r="D18" s="32">
        <v>1002</v>
      </c>
      <c r="E18" s="32">
        <v>40</v>
      </c>
      <c r="F18" s="23" t="s">
        <v>83</v>
      </c>
    </row>
    <row r="19" spans="1:6" ht="75" customHeight="1" x14ac:dyDescent="0.2">
      <c r="A19" s="31">
        <v>45954.5</v>
      </c>
      <c r="B19" s="27">
        <v>15.9</v>
      </c>
      <c r="C19" s="27">
        <v>-75.099999999999994</v>
      </c>
      <c r="D19" s="32">
        <v>1000</v>
      </c>
      <c r="E19" s="32">
        <v>45</v>
      </c>
      <c r="F19" s="23" t="s">
        <v>83</v>
      </c>
    </row>
    <row r="20" spans="1:6" ht="75" customHeight="1" x14ac:dyDescent="0.2">
      <c r="A20" s="31">
        <v>45954.75</v>
      </c>
      <c r="B20" s="27">
        <v>15.9</v>
      </c>
      <c r="C20" s="27">
        <v>-74.8</v>
      </c>
      <c r="D20" s="32">
        <v>997</v>
      </c>
      <c r="E20" s="32">
        <v>50</v>
      </c>
      <c r="F20" s="23" t="s">
        <v>83</v>
      </c>
    </row>
    <row r="21" spans="1:6" ht="75" customHeight="1" x14ac:dyDescent="0.2">
      <c r="A21" s="31">
        <v>45955</v>
      </c>
      <c r="B21" s="27">
        <v>16.100000000000001</v>
      </c>
      <c r="C21" s="27">
        <v>-74.7</v>
      </c>
      <c r="D21" s="32">
        <v>993</v>
      </c>
      <c r="E21" s="32">
        <v>55</v>
      </c>
      <c r="F21" s="23" t="s">
        <v>83</v>
      </c>
    </row>
    <row r="22" spans="1:6" ht="75" customHeight="1" x14ac:dyDescent="0.2">
      <c r="A22" s="31">
        <v>45955.25</v>
      </c>
      <c r="B22" s="27">
        <v>16.3</v>
      </c>
      <c r="C22" s="27">
        <v>-74.7</v>
      </c>
      <c r="D22" s="32">
        <v>986</v>
      </c>
      <c r="E22" s="32">
        <v>60</v>
      </c>
      <c r="F22" s="23" t="s">
        <v>83</v>
      </c>
    </row>
    <row r="23" spans="1:6" ht="75" customHeight="1" x14ac:dyDescent="0.2">
      <c r="A23" s="31">
        <v>45955.5</v>
      </c>
      <c r="B23" s="27">
        <v>16.399999999999999</v>
      </c>
      <c r="C23" s="27">
        <v>-74.900000000000006</v>
      </c>
      <c r="D23" s="32">
        <v>984</v>
      </c>
      <c r="E23" s="32">
        <v>60</v>
      </c>
      <c r="F23" s="23" t="s">
        <v>83</v>
      </c>
    </row>
    <row r="24" spans="1:6" ht="75" customHeight="1" x14ac:dyDescent="0.2">
      <c r="A24" s="31">
        <v>45955.75</v>
      </c>
      <c r="B24" s="27">
        <v>16.399999999999999</v>
      </c>
      <c r="C24" s="27">
        <v>-75.3</v>
      </c>
      <c r="D24" s="32">
        <v>976</v>
      </c>
      <c r="E24" s="32">
        <v>75</v>
      </c>
      <c r="F24" s="23" t="s">
        <v>84</v>
      </c>
    </row>
    <row r="25" spans="1:6" ht="75" customHeight="1" x14ac:dyDescent="0.2">
      <c r="A25" s="31">
        <v>45956</v>
      </c>
      <c r="B25" s="27">
        <v>16.399999999999999</v>
      </c>
      <c r="C25" s="27">
        <v>-75.7</v>
      </c>
      <c r="D25" s="32">
        <v>971</v>
      </c>
      <c r="E25" s="32">
        <v>90</v>
      </c>
      <c r="F25" s="23" t="s">
        <v>84</v>
      </c>
    </row>
    <row r="26" spans="1:6" ht="75" customHeight="1" x14ac:dyDescent="0.2">
      <c r="A26" s="31">
        <v>45956.25</v>
      </c>
      <c r="B26" s="27">
        <v>16.3</v>
      </c>
      <c r="C26" s="27">
        <v>-76</v>
      </c>
      <c r="D26" s="32">
        <v>958</v>
      </c>
      <c r="E26" s="32">
        <v>105</v>
      </c>
      <c r="F26" s="23" t="s">
        <v>84</v>
      </c>
    </row>
    <row r="27" spans="1:6" ht="75" customHeight="1" x14ac:dyDescent="0.2">
      <c r="A27" s="31">
        <v>45956.5</v>
      </c>
      <c r="B27" s="27">
        <v>16.3</v>
      </c>
      <c r="C27" s="27">
        <v>-76.400000000000006</v>
      </c>
      <c r="D27" s="32">
        <v>952</v>
      </c>
      <c r="E27" s="32">
        <v>115</v>
      </c>
      <c r="F27" s="23" t="s">
        <v>84</v>
      </c>
    </row>
    <row r="28" spans="1:6" ht="75" customHeight="1" x14ac:dyDescent="0.2">
      <c r="A28" s="31">
        <v>45956.75</v>
      </c>
      <c r="B28" s="27">
        <v>16.3</v>
      </c>
      <c r="C28" s="27">
        <v>-76.900000000000006</v>
      </c>
      <c r="D28" s="32">
        <v>944</v>
      </c>
      <c r="E28" s="32">
        <v>120</v>
      </c>
      <c r="F28" s="23" t="s">
        <v>84</v>
      </c>
    </row>
    <row r="29" spans="1:6" ht="75" customHeight="1" x14ac:dyDescent="0.2">
      <c r="A29" s="31">
        <v>45957</v>
      </c>
      <c r="B29" s="27">
        <v>16.3</v>
      </c>
      <c r="C29" s="27">
        <v>-77.3</v>
      </c>
      <c r="D29" s="32">
        <v>934</v>
      </c>
      <c r="E29" s="32">
        <v>125</v>
      </c>
      <c r="F29" s="23" t="s">
        <v>84</v>
      </c>
    </row>
    <row r="30" spans="1:6" ht="75" customHeight="1" x14ac:dyDescent="0.2">
      <c r="A30" s="31">
        <v>45957.25</v>
      </c>
      <c r="B30" s="27">
        <v>16.3</v>
      </c>
      <c r="C30" s="27">
        <v>-77.7</v>
      </c>
      <c r="D30" s="32">
        <v>923</v>
      </c>
      <c r="E30" s="32">
        <v>135</v>
      </c>
      <c r="F30" s="23" t="s">
        <v>84</v>
      </c>
    </row>
    <row r="31" spans="1:6" ht="75" customHeight="1" x14ac:dyDescent="0.2">
      <c r="A31" s="31">
        <v>45957.5</v>
      </c>
      <c r="B31" s="27">
        <v>16.3</v>
      </c>
      <c r="C31" s="27">
        <v>-78</v>
      </c>
      <c r="D31" s="32">
        <v>912</v>
      </c>
      <c r="E31" s="32">
        <v>145</v>
      </c>
      <c r="F31" s="23" t="s">
        <v>84</v>
      </c>
    </row>
    <row r="32" spans="1:6" ht="75" customHeight="1" x14ac:dyDescent="0.2">
      <c r="A32" s="31">
        <v>45957.75</v>
      </c>
      <c r="B32" s="27">
        <v>16.399999999999999</v>
      </c>
      <c r="C32" s="27">
        <v>-78.3</v>
      </c>
      <c r="D32" s="32">
        <v>906</v>
      </c>
      <c r="E32" s="32">
        <v>155</v>
      </c>
      <c r="F32" s="23" t="s">
        <v>84</v>
      </c>
    </row>
    <row r="33" spans="1:6" ht="75" customHeight="1" x14ac:dyDescent="0.2">
      <c r="A33" s="31">
        <v>45958</v>
      </c>
      <c r="B33" s="27">
        <v>16.5</v>
      </c>
      <c r="C33" s="27">
        <v>-78.599999999999994</v>
      </c>
      <c r="D33" s="32">
        <v>909</v>
      </c>
      <c r="E33" s="32">
        <v>155</v>
      </c>
      <c r="F33" s="23" t="s">
        <v>84</v>
      </c>
    </row>
    <row r="34" spans="1:6" ht="75" customHeight="1" x14ac:dyDescent="0.2">
      <c r="A34" s="31">
        <v>45958.25</v>
      </c>
      <c r="B34" s="27">
        <v>16.899999999999999</v>
      </c>
      <c r="C34" s="27">
        <v>-78.400000000000006</v>
      </c>
      <c r="D34" s="32">
        <v>900</v>
      </c>
      <c r="E34" s="32">
        <v>155</v>
      </c>
      <c r="F34" s="23" t="s">
        <v>84</v>
      </c>
    </row>
    <row r="35" spans="1:6" ht="75" customHeight="1" x14ac:dyDescent="0.2">
      <c r="A35" s="31">
        <v>45958.5</v>
      </c>
      <c r="B35" s="27">
        <v>17.5</v>
      </c>
      <c r="C35" s="27">
        <v>-78.099999999999994</v>
      </c>
      <c r="D35" s="32">
        <v>892</v>
      </c>
      <c r="E35" s="32">
        <v>165</v>
      </c>
      <c r="F35" s="23" t="s">
        <v>84</v>
      </c>
    </row>
    <row r="36" spans="1:6" ht="75" customHeight="1" x14ac:dyDescent="0.2">
      <c r="A36" s="31">
        <v>45958.725694444445</v>
      </c>
      <c r="B36" s="27">
        <v>18.100000000000001</v>
      </c>
      <c r="C36" s="27">
        <v>-78</v>
      </c>
      <c r="D36" s="32">
        <v>897</v>
      </c>
      <c r="E36" s="32">
        <v>160</v>
      </c>
      <c r="F36" s="23" t="s">
        <v>84</v>
      </c>
    </row>
    <row r="37" spans="1:6" ht="75" customHeight="1" x14ac:dyDescent="0.2">
      <c r="A37" s="31">
        <v>45958.75</v>
      </c>
      <c r="B37" s="27">
        <v>18.2</v>
      </c>
      <c r="C37" s="27">
        <v>-78</v>
      </c>
      <c r="D37" s="32">
        <v>910</v>
      </c>
      <c r="E37" s="32">
        <v>145</v>
      </c>
      <c r="F37" s="23" t="s">
        <v>84</v>
      </c>
    </row>
    <row r="38" spans="1:6" ht="75" customHeight="1" x14ac:dyDescent="0.2">
      <c r="A38" s="31">
        <v>45959</v>
      </c>
      <c r="B38" s="27">
        <v>18.8</v>
      </c>
      <c r="C38" s="27">
        <v>-77.099999999999994</v>
      </c>
      <c r="D38" s="32">
        <v>953</v>
      </c>
      <c r="E38" s="32">
        <v>105</v>
      </c>
      <c r="F38" s="23" t="s">
        <v>84</v>
      </c>
    </row>
    <row r="39" spans="1:6" ht="75" customHeight="1" x14ac:dyDescent="0.2">
      <c r="A39" s="31">
        <v>45959.25</v>
      </c>
      <c r="B39" s="27">
        <v>19.7</v>
      </c>
      <c r="C39" s="27">
        <v>-76.400000000000006</v>
      </c>
      <c r="D39" s="32">
        <v>952</v>
      </c>
      <c r="E39" s="32">
        <v>105</v>
      </c>
      <c r="F39" s="23" t="s">
        <v>84</v>
      </c>
    </row>
    <row r="40" spans="1:6" ht="75" customHeight="1" x14ac:dyDescent="0.2">
      <c r="A40" s="31">
        <v>45959.305555555555</v>
      </c>
      <c r="B40" s="27">
        <v>20</v>
      </c>
      <c r="C40" s="27">
        <v>-76.2</v>
      </c>
      <c r="D40" s="32">
        <v>954</v>
      </c>
      <c r="E40" s="32">
        <v>100</v>
      </c>
      <c r="F40" s="23" t="s">
        <v>84</v>
      </c>
    </row>
    <row r="41" spans="1:6" ht="75" customHeight="1" x14ac:dyDescent="0.2">
      <c r="A41" s="31">
        <v>45959.5</v>
      </c>
      <c r="B41" s="27">
        <v>20.9</v>
      </c>
      <c r="C41" s="27">
        <v>-75.8</v>
      </c>
      <c r="D41" s="32">
        <v>968</v>
      </c>
      <c r="E41" s="32">
        <v>85</v>
      </c>
      <c r="F41" s="23" t="s">
        <v>84</v>
      </c>
    </row>
    <row r="42" spans="1:6" ht="75" customHeight="1" x14ac:dyDescent="0.2">
      <c r="A42" s="31">
        <v>45959.75</v>
      </c>
      <c r="B42" s="27">
        <v>22.1</v>
      </c>
      <c r="C42" s="27">
        <v>-75.400000000000006</v>
      </c>
      <c r="D42" s="32">
        <v>972</v>
      </c>
      <c r="E42" s="32">
        <v>80</v>
      </c>
      <c r="F42" s="23" t="s">
        <v>84</v>
      </c>
    </row>
    <row r="43" spans="1:6" ht="75" customHeight="1" x14ac:dyDescent="0.2">
      <c r="A43" s="31">
        <v>45959.927083333336</v>
      </c>
      <c r="B43" s="27">
        <v>23.1</v>
      </c>
      <c r="C43" s="27">
        <v>-75</v>
      </c>
      <c r="D43" s="32">
        <v>972</v>
      </c>
      <c r="E43" s="32">
        <v>80</v>
      </c>
      <c r="F43" s="23" t="s">
        <v>84</v>
      </c>
    </row>
    <row r="44" spans="1:6" ht="75" customHeight="1" x14ac:dyDescent="0.2">
      <c r="A44" s="31">
        <v>45960</v>
      </c>
      <c r="B44" s="27">
        <v>23.5</v>
      </c>
      <c r="C44" s="27">
        <v>-74.8</v>
      </c>
      <c r="D44" s="32">
        <v>970</v>
      </c>
      <c r="E44" s="32">
        <v>80</v>
      </c>
      <c r="F44" s="23" t="s">
        <v>84</v>
      </c>
    </row>
    <row r="45" spans="1:6" ht="75" customHeight="1" x14ac:dyDescent="0.2">
      <c r="A45" s="31">
        <v>45960.083333333336</v>
      </c>
      <c r="B45" s="27">
        <v>24</v>
      </c>
      <c r="C45" s="27">
        <v>-74.5</v>
      </c>
      <c r="D45" s="32">
        <v>970</v>
      </c>
      <c r="E45" s="32">
        <v>80</v>
      </c>
      <c r="F45" s="23" t="s">
        <v>84</v>
      </c>
    </row>
    <row r="46" spans="1:6" ht="75" customHeight="1" x14ac:dyDescent="0.2">
      <c r="A46" s="31">
        <v>45960.25</v>
      </c>
      <c r="B46" s="27">
        <v>25</v>
      </c>
      <c r="C46" s="27">
        <v>-73.8</v>
      </c>
      <c r="D46" s="32">
        <v>968</v>
      </c>
      <c r="E46" s="32">
        <v>85</v>
      </c>
      <c r="F46" s="23" t="s">
        <v>84</v>
      </c>
    </row>
    <row r="47" spans="1:6" ht="75" customHeight="1" x14ac:dyDescent="0.2">
      <c r="A47" s="31">
        <v>45960.5</v>
      </c>
      <c r="B47" s="27">
        <v>26.7</v>
      </c>
      <c r="C47" s="27">
        <v>-72.7</v>
      </c>
      <c r="D47" s="32">
        <v>965</v>
      </c>
      <c r="E47" s="32">
        <v>90</v>
      </c>
      <c r="F47" s="23" t="s">
        <v>84</v>
      </c>
    </row>
    <row r="48" spans="1:6" ht="75" customHeight="1" x14ac:dyDescent="0.2">
      <c r="A48" s="31">
        <v>45960.75</v>
      </c>
      <c r="B48" s="27">
        <v>28.9</v>
      </c>
      <c r="C48" s="27">
        <v>-70.900000000000006</v>
      </c>
      <c r="D48" s="32">
        <v>967</v>
      </c>
      <c r="E48" s="32">
        <v>85</v>
      </c>
      <c r="F48" s="23" t="s">
        <v>84</v>
      </c>
    </row>
    <row r="49" spans="1:6" ht="75" customHeight="1" x14ac:dyDescent="0.2">
      <c r="A49" s="31">
        <v>45961</v>
      </c>
      <c r="B49" s="27">
        <v>31.3</v>
      </c>
      <c r="C49" s="27">
        <v>-68.7</v>
      </c>
      <c r="D49" s="32">
        <v>970</v>
      </c>
      <c r="E49" s="32">
        <v>80</v>
      </c>
      <c r="F49" s="23" t="s">
        <v>84</v>
      </c>
    </row>
    <row r="50" spans="1:6" ht="75" customHeight="1" x14ac:dyDescent="0.2">
      <c r="A50" s="31">
        <v>45961.25</v>
      </c>
      <c r="B50" s="27">
        <v>34.5</v>
      </c>
      <c r="C50" s="27">
        <v>-65.5</v>
      </c>
      <c r="D50" s="32">
        <v>972</v>
      </c>
      <c r="E50" s="32">
        <v>75</v>
      </c>
      <c r="F50" s="23" t="s">
        <v>84</v>
      </c>
    </row>
    <row r="51" spans="1:6" ht="75" customHeight="1" x14ac:dyDescent="0.2">
      <c r="A51" s="31">
        <v>45961.5</v>
      </c>
      <c r="B51" s="27">
        <v>37.700000000000003</v>
      </c>
      <c r="C51" s="27">
        <v>-62.1</v>
      </c>
      <c r="D51" s="32">
        <v>972</v>
      </c>
      <c r="E51" s="32">
        <v>75</v>
      </c>
      <c r="F51" s="23" t="s">
        <v>85</v>
      </c>
    </row>
    <row r="52" spans="1:6" ht="75" customHeight="1" x14ac:dyDescent="0.2">
      <c r="A52" s="31">
        <v>45961.75</v>
      </c>
      <c r="B52" s="27">
        <v>40.6</v>
      </c>
      <c r="C52" s="27">
        <v>-58.9</v>
      </c>
      <c r="D52" s="32">
        <v>972</v>
      </c>
      <c r="E52" s="32">
        <v>70</v>
      </c>
      <c r="F52" s="23" t="s">
        <v>85</v>
      </c>
    </row>
    <row r="53" spans="1:6" ht="75" customHeight="1" x14ac:dyDescent="0.2">
      <c r="A53" s="31">
        <v>45962</v>
      </c>
      <c r="B53" s="27">
        <v>43.7</v>
      </c>
      <c r="C53" s="27">
        <v>-56</v>
      </c>
      <c r="D53" s="32">
        <v>971</v>
      </c>
      <c r="E53" s="32">
        <v>70</v>
      </c>
      <c r="F53" s="23" t="s">
        <v>85</v>
      </c>
    </row>
    <row r="54" spans="1:6" ht="75" customHeight="1" x14ac:dyDescent="0.2">
      <c r="A54" s="31">
        <v>45962.25</v>
      </c>
      <c r="B54" s="27">
        <v>46.6</v>
      </c>
      <c r="C54" s="27">
        <v>-51.3</v>
      </c>
      <c r="D54" s="32">
        <v>968</v>
      </c>
      <c r="E54" s="32">
        <v>65</v>
      </c>
      <c r="F54" s="23" t="s">
        <v>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5CE9A-25A7-45D6-B144-EDEF40625FA5}">
  <dimension ref="A1:F43"/>
  <sheetViews>
    <sheetView workbookViewId="0">
      <pane ySplit="5" topLeftCell="A6" activePane="bottomLeft" state="frozen"/>
      <selection pane="bottomLeft" activeCell="H20" sqref="H20"/>
    </sheetView>
  </sheetViews>
  <sheetFormatPr baseColWidth="10" defaultRowHeight="15" x14ac:dyDescent="0.2"/>
  <cols>
    <col min="1" max="1" width="21.6640625" customWidth="1"/>
    <col min="2" max="5" width="16.6640625" customWidth="1"/>
    <col min="6" max="6" width="21.6640625" customWidth="1"/>
  </cols>
  <sheetData>
    <row r="1" spans="1:6" ht="32.25" customHeight="1" x14ac:dyDescent="0.2">
      <c r="A1" s="19" t="s">
        <v>208</v>
      </c>
      <c r="B1" s="19"/>
      <c r="C1" s="19"/>
      <c r="D1" s="19"/>
      <c r="E1" s="19"/>
      <c r="F1" s="19"/>
    </row>
    <row r="2" spans="1:6" ht="21.75" customHeight="1" x14ac:dyDescent="0.2">
      <c r="A2" s="20" t="s">
        <v>209</v>
      </c>
      <c r="B2" s="20"/>
      <c r="C2" s="20"/>
      <c r="D2" s="20"/>
      <c r="E2" s="20"/>
      <c r="F2" s="20"/>
    </row>
    <row r="3" spans="1:6" ht="21.75" customHeight="1" x14ac:dyDescent="0.2">
      <c r="A3" s="21" t="s">
        <v>210</v>
      </c>
      <c r="B3" s="21"/>
      <c r="C3" s="21"/>
      <c r="D3" s="21"/>
      <c r="E3" s="21"/>
      <c r="F3" s="21"/>
    </row>
    <row r="4" spans="1:6" ht="9" customHeight="1" x14ac:dyDescent="0.2">
      <c r="A4" s="18"/>
      <c r="B4" s="18"/>
      <c r="C4" s="18"/>
      <c r="D4" s="18"/>
      <c r="E4" s="18"/>
      <c r="F4" s="18"/>
    </row>
    <row r="5" spans="1:6" ht="30" customHeight="1" x14ac:dyDescent="0.2">
      <c r="A5" s="22" t="s">
        <v>78</v>
      </c>
      <c r="B5" s="22" t="s">
        <v>79</v>
      </c>
      <c r="C5" s="22" t="s">
        <v>74</v>
      </c>
      <c r="D5" s="22" t="s">
        <v>80</v>
      </c>
      <c r="E5" s="22" t="s">
        <v>81</v>
      </c>
      <c r="F5" s="22" t="s">
        <v>82</v>
      </c>
    </row>
    <row r="6" spans="1:6" ht="75" customHeight="1" x14ac:dyDescent="0.2">
      <c r="A6" s="31">
        <v>44827.25</v>
      </c>
      <c r="B6" s="27">
        <v>13.7</v>
      </c>
      <c r="C6" s="27">
        <v>-68.099999999999994</v>
      </c>
      <c r="D6" s="32">
        <v>1006</v>
      </c>
      <c r="E6" s="32">
        <v>30</v>
      </c>
      <c r="F6" s="23" t="s">
        <v>207</v>
      </c>
    </row>
    <row r="7" spans="1:6" ht="75" customHeight="1" x14ac:dyDescent="0.2">
      <c r="A7" s="31">
        <v>44827.5</v>
      </c>
      <c r="B7" s="27">
        <v>14.2</v>
      </c>
      <c r="C7" s="27">
        <v>-69.3</v>
      </c>
      <c r="D7" s="32">
        <v>1006</v>
      </c>
      <c r="E7" s="32">
        <v>30</v>
      </c>
      <c r="F7" s="23" t="s">
        <v>207</v>
      </c>
    </row>
    <row r="8" spans="1:6" ht="75" customHeight="1" x14ac:dyDescent="0.2">
      <c r="A8" s="31">
        <v>44827.75</v>
      </c>
      <c r="B8" s="27">
        <v>14.6</v>
      </c>
      <c r="C8" s="27">
        <v>-70.599999999999994</v>
      </c>
      <c r="D8" s="32">
        <v>1006</v>
      </c>
      <c r="E8" s="32">
        <v>30</v>
      </c>
      <c r="F8" s="23" t="s">
        <v>207</v>
      </c>
    </row>
    <row r="9" spans="1:6" ht="75" customHeight="1" x14ac:dyDescent="0.2">
      <c r="A9" s="31">
        <v>44828</v>
      </c>
      <c r="B9" s="27">
        <v>14.7</v>
      </c>
      <c r="C9" s="27">
        <v>-71.7</v>
      </c>
      <c r="D9" s="32">
        <v>1005</v>
      </c>
      <c r="E9" s="32">
        <v>35</v>
      </c>
      <c r="F9" s="23" t="s">
        <v>83</v>
      </c>
    </row>
    <row r="10" spans="1:6" ht="75" customHeight="1" x14ac:dyDescent="0.2">
      <c r="A10" s="31">
        <v>44828.25</v>
      </c>
      <c r="B10" s="27">
        <v>14.7</v>
      </c>
      <c r="C10" s="27">
        <v>-72.900000000000006</v>
      </c>
      <c r="D10" s="32">
        <v>1005</v>
      </c>
      <c r="E10" s="32">
        <v>35</v>
      </c>
      <c r="F10" s="23" t="s">
        <v>83</v>
      </c>
    </row>
    <row r="11" spans="1:6" ht="75" customHeight="1" x14ac:dyDescent="0.2">
      <c r="A11" s="31">
        <v>44828.5</v>
      </c>
      <c r="B11" s="27">
        <v>14.5</v>
      </c>
      <c r="C11" s="27">
        <v>-74.400000000000006</v>
      </c>
      <c r="D11" s="32">
        <v>1003</v>
      </c>
      <c r="E11" s="32">
        <v>40</v>
      </c>
      <c r="F11" s="23" t="s">
        <v>83</v>
      </c>
    </row>
    <row r="12" spans="1:6" ht="75" customHeight="1" x14ac:dyDescent="0.2">
      <c r="A12" s="31">
        <v>44828.75</v>
      </c>
      <c r="B12" s="27">
        <v>14.4</v>
      </c>
      <c r="C12" s="27">
        <v>-75.8</v>
      </c>
      <c r="D12" s="32">
        <v>1003</v>
      </c>
      <c r="E12" s="32">
        <v>40</v>
      </c>
      <c r="F12" s="23" t="s">
        <v>83</v>
      </c>
    </row>
    <row r="13" spans="1:6" ht="75" customHeight="1" x14ac:dyDescent="0.2">
      <c r="A13" s="31">
        <v>44829</v>
      </c>
      <c r="B13" s="27">
        <v>14.6</v>
      </c>
      <c r="C13" s="27">
        <v>-77.2</v>
      </c>
      <c r="D13" s="32">
        <v>1003</v>
      </c>
      <c r="E13" s="32">
        <v>40</v>
      </c>
      <c r="F13" s="23" t="s">
        <v>83</v>
      </c>
    </row>
    <row r="14" spans="1:6" ht="75" customHeight="1" x14ac:dyDescent="0.2">
      <c r="A14" s="31">
        <v>44829.25</v>
      </c>
      <c r="B14" s="27">
        <v>14.6</v>
      </c>
      <c r="C14" s="27">
        <v>-78.3</v>
      </c>
      <c r="D14" s="32">
        <v>1003</v>
      </c>
      <c r="E14" s="32">
        <v>40</v>
      </c>
      <c r="F14" s="23" t="s">
        <v>83</v>
      </c>
    </row>
    <row r="15" spans="1:6" ht="75" customHeight="1" x14ac:dyDescent="0.2">
      <c r="A15" s="31">
        <v>44829.5</v>
      </c>
      <c r="B15" s="27">
        <v>15</v>
      </c>
      <c r="C15" s="27">
        <v>-79.400000000000006</v>
      </c>
      <c r="D15" s="32">
        <v>1003</v>
      </c>
      <c r="E15" s="32">
        <v>40</v>
      </c>
      <c r="F15" s="23" t="s">
        <v>83</v>
      </c>
    </row>
    <row r="16" spans="1:6" ht="75" customHeight="1" x14ac:dyDescent="0.2">
      <c r="A16" s="31">
        <v>44829.75</v>
      </c>
      <c r="B16" s="27">
        <v>15.8</v>
      </c>
      <c r="C16" s="27">
        <v>-80.099999999999994</v>
      </c>
      <c r="D16" s="32">
        <v>1003</v>
      </c>
      <c r="E16" s="32">
        <v>40</v>
      </c>
      <c r="F16" s="23" t="s">
        <v>83</v>
      </c>
    </row>
    <row r="17" spans="1:6" ht="75" customHeight="1" x14ac:dyDescent="0.2">
      <c r="A17" s="31">
        <v>44830</v>
      </c>
      <c r="B17" s="27">
        <v>16.8</v>
      </c>
      <c r="C17" s="27">
        <v>-80.900000000000006</v>
      </c>
      <c r="D17" s="32">
        <v>991</v>
      </c>
      <c r="E17" s="32">
        <v>50</v>
      </c>
      <c r="F17" s="23" t="s">
        <v>83</v>
      </c>
    </row>
    <row r="18" spans="1:6" ht="75" customHeight="1" x14ac:dyDescent="0.2">
      <c r="A18" s="31">
        <v>44830.25</v>
      </c>
      <c r="B18" s="27">
        <v>17.7</v>
      </c>
      <c r="C18" s="27">
        <v>-81.7</v>
      </c>
      <c r="D18" s="32">
        <v>985</v>
      </c>
      <c r="E18" s="32">
        <v>65</v>
      </c>
      <c r="F18" s="23" t="s">
        <v>84</v>
      </c>
    </row>
    <row r="19" spans="1:6" ht="75" customHeight="1" x14ac:dyDescent="0.2">
      <c r="A19" s="31">
        <v>44830.5</v>
      </c>
      <c r="B19" s="27">
        <v>18.7</v>
      </c>
      <c r="C19" s="27">
        <v>-82.4</v>
      </c>
      <c r="D19" s="32">
        <v>981</v>
      </c>
      <c r="E19" s="32">
        <v>70</v>
      </c>
      <c r="F19" s="23" t="s">
        <v>84</v>
      </c>
    </row>
    <row r="20" spans="1:6" ht="75" customHeight="1" x14ac:dyDescent="0.2">
      <c r="A20" s="31">
        <v>44830.75</v>
      </c>
      <c r="B20" s="27">
        <v>19.7</v>
      </c>
      <c r="C20" s="27">
        <v>-83</v>
      </c>
      <c r="D20" s="32">
        <v>976</v>
      </c>
      <c r="E20" s="32">
        <v>80</v>
      </c>
      <c r="F20" s="23" t="s">
        <v>84</v>
      </c>
    </row>
    <row r="21" spans="1:6" ht="75" customHeight="1" x14ac:dyDescent="0.2">
      <c r="A21" s="31">
        <v>44831</v>
      </c>
      <c r="B21" s="27">
        <v>20.8</v>
      </c>
      <c r="C21" s="27">
        <v>-83.3</v>
      </c>
      <c r="D21" s="32">
        <v>965</v>
      </c>
      <c r="E21" s="32">
        <v>85</v>
      </c>
      <c r="F21" s="23" t="s">
        <v>84</v>
      </c>
    </row>
    <row r="22" spans="1:6" ht="75" customHeight="1" x14ac:dyDescent="0.2">
      <c r="A22" s="31">
        <v>44831.25</v>
      </c>
      <c r="B22" s="27">
        <v>21.8</v>
      </c>
      <c r="C22" s="27">
        <v>-83.6</v>
      </c>
      <c r="D22" s="32">
        <v>956</v>
      </c>
      <c r="E22" s="32">
        <v>100</v>
      </c>
      <c r="F22" s="23" t="s">
        <v>84</v>
      </c>
    </row>
    <row r="23" spans="1:6" ht="75" customHeight="1" x14ac:dyDescent="0.2">
      <c r="A23" s="31">
        <v>44831.354166666664</v>
      </c>
      <c r="B23" s="27">
        <v>22.2</v>
      </c>
      <c r="C23" s="27">
        <v>-83.7</v>
      </c>
      <c r="D23" s="32">
        <v>947</v>
      </c>
      <c r="E23" s="32">
        <v>110</v>
      </c>
      <c r="F23" s="23" t="s">
        <v>84</v>
      </c>
    </row>
    <row r="24" spans="1:6" ht="75" customHeight="1" x14ac:dyDescent="0.2">
      <c r="A24" s="31">
        <v>44831.5</v>
      </c>
      <c r="B24" s="27">
        <v>22.6</v>
      </c>
      <c r="C24" s="27">
        <v>-83.6</v>
      </c>
      <c r="D24" s="32">
        <v>963</v>
      </c>
      <c r="E24" s="32">
        <v>100</v>
      </c>
      <c r="F24" s="23" t="s">
        <v>84</v>
      </c>
    </row>
    <row r="25" spans="1:6" ht="75" customHeight="1" x14ac:dyDescent="0.2">
      <c r="A25" s="31">
        <v>44831.75</v>
      </c>
      <c r="B25" s="27">
        <v>23.5</v>
      </c>
      <c r="C25" s="27">
        <v>-83.3</v>
      </c>
      <c r="D25" s="32">
        <v>951</v>
      </c>
      <c r="E25" s="32">
        <v>105</v>
      </c>
      <c r="F25" s="23" t="s">
        <v>84</v>
      </c>
    </row>
    <row r="26" spans="1:6" ht="75" customHeight="1" x14ac:dyDescent="0.2">
      <c r="A26" s="31">
        <v>44832</v>
      </c>
      <c r="B26" s="27">
        <v>24.4</v>
      </c>
      <c r="C26" s="27">
        <v>-83</v>
      </c>
      <c r="D26" s="32">
        <v>947</v>
      </c>
      <c r="E26" s="32">
        <v>105</v>
      </c>
      <c r="F26" s="23" t="s">
        <v>84</v>
      </c>
    </row>
    <row r="27" spans="1:6" ht="75" customHeight="1" x14ac:dyDescent="0.2">
      <c r="A27" s="31">
        <v>44832.083333333336</v>
      </c>
      <c r="B27" s="27">
        <v>24.6</v>
      </c>
      <c r="C27" s="27">
        <v>-82.9</v>
      </c>
      <c r="D27" s="32">
        <v>952</v>
      </c>
      <c r="E27" s="32">
        <v>110</v>
      </c>
      <c r="F27" s="23" t="s">
        <v>84</v>
      </c>
    </row>
    <row r="28" spans="1:6" ht="75" customHeight="1" x14ac:dyDescent="0.2">
      <c r="A28" s="31">
        <v>44832.25</v>
      </c>
      <c r="B28" s="27">
        <v>25.2</v>
      </c>
      <c r="C28" s="27">
        <v>-82.9</v>
      </c>
      <c r="D28" s="32">
        <v>945</v>
      </c>
      <c r="E28" s="32">
        <v>120</v>
      </c>
      <c r="F28" s="23" t="s">
        <v>84</v>
      </c>
    </row>
    <row r="29" spans="1:6" ht="75" customHeight="1" x14ac:dyDescent="0.2">
      <c r="A29" s="31">
        <v>44832.5</v>
      </c>
      <c r="B29" s="27">
        <v>26</v>
      </c>
      <c r="C29" s="27">
        <v>-82.7</v>
      </c>
      <c r="D29" s="32">
        <v>937</v>
      </c>
      <c r="E29" s="32">
        <v>140</v>
      </c>
      <c r="F29" s="23" t="s">
        <v>84</v>
      </c>
    </row>
    <row r="30" spans="1:6" ht="75" customHeight="1" x14ac:dyDescent="0.2">
      <c r="A30" s="31">
        <v>44832.75</v>
      </c>
      <c r="B30" s="27">
        <v>26.6</v>
      </c>
      <c r="C30" s="27">
        <v>-82.4</v>
      </c>
      <c r="D30" s="32">
        <v>938</v>
      </c>
      <c r="E30" s="32">
        <v>135</v>
      </c>
      <c r="F30" s="23" t="s">
        <v>84</v>
      </c>
    </row>
    <row r="31" spans="1:6" ht="75" customHeight="1" x14ac:dyDescent="0.2">
      <c r="A31" s="31">
        <v>44832.795138888891</v>
      </c>
      <c r="B31" s="27">
        <v>26.7</v>
      </c>
      <c r="C31" s="27">
        <v>-82.2</v>
      </c>
      <c r="D31" s="32">
        <v>941</v>
      </c>
      <c r="E31" s="32">
        <v>130</v>
      </c>
      <c r="F31" s="23" t="s">
        <v>84</v>
      </c>
    </row>
    <row r="32" spans="1:6" ht="75" customHeight="1" x14ac:dyDescent="0.2">
      <c r="A32" s="31">
        <v>44832.857638888891</v>
      </c>
      <c r="B32" s="27">
        <v>26.8</v>
      </c>
      <c r="C32" s="27">
        <v>-82</v>
      </c>
      <c r="D32" s="32">
        <v>945</v>
      </c>
      <c r="E32" s="32">
        <v>125</v>
      </c>
      <c r="F32" s="23" t="s">
        <v>84</v>
      </c>
    </row>
    <row r="33" spans="1:6" ht="75" customHeight="1" x14ac:dyDescent="0.2">
      <c r="A33" s="31">
        <v>44833</v>
      </c>
      <c r="B33" s="27">
        <v>27.2</v>
      </c>
      <c r="C33" s="27">
        <v>-81.7</v>
      </c>
      <c r="D33" s="32">
        <v>960</v>
      </c>
      <c r="E33" s="32">
        <v>100</v>
      </c>
      <c r="F33" s="23" t="s">
        <v>84</v>
      </c>
    </row>
    <row r="34" spans="1:6" ht="75" customHeight="1" x14ac:dyDescent="0.2">
      <c r="A34" s="31">
        <v>44833.25</v>
      </c>
      <c r="B34" s="27">
        <v>27.7</v>
      </c>
      <c r="C34" s="27">
        <v>-81.099999999999994</v>
      </c>
      <c r="D34" s="32">
        <v>985</v>
      </c>
      <c r="E34" s="32">
        <v>65</v>
      </c>
      <c r="F34" s="23" t="s">
        <v>84</v>
      </c>
    </row>
    <row r="35" spans="1:6" ht="75" customHeight="1" x14ac:dyDescent="0.2">
      <c r="A35" s="31">
        <v>44833.5</v>
      </c>
      <c r="B35" s="27">
        <v>28.4</v>
      </c>
      <c r="C35" s="27">
        <v>-80.599999999999994</v>
      </c>
      <c r="D35" s="32">
        <v>987</v>
      </c>
      <c r="E35" s="32">
        <v>60</v>
      </c>
      <c r="F35" s="23" t="s">
        <v>83</v>
      </c>
    </row>
    <row r="36" spans="1:6" ht="75" customHeight="1" x14ac:dyDescent="0.2">
      <c r="A36" s="31">
        <v>44833.75</v>
      </c>
      <c r="B36" s="27">
        <v>28.9</v>
      </c>
      <c r="C36" s="27">
        <v>-80.099999999999994</v>
      </c>
      <c r="D36" s="32">
        <v>986</v>
      </c>
      <c r="E36" s="32">
        <v>65</v>
      </c>
      <c r="F36" s="23" t="s">
        <v>84</v>
      </c>
    </row>
    <row r="37" spans="1:6" ht="75" customHeight="1" x14ac:dyDescent="0.2">
      <c r="A37" s="31">
        <v>44834</v>
      </c>
      <c r="B37" s="27">
        <v>29.6</v>
      </c>
      <c r="C37" s="27">
        <v>-79.400000000000006</v>
      </c>
      <c r="D37" s="32">
        <v>986</v>
      </c>
      <c r="E37" s="32">
        <v>70</v>
      </c>
      <c r="F37" s="23" t="s">
        <v>84</v>
      </c>
    </row>
    <row r="38" spans="1:6" ht="75" customHeight="1" x14ac:dyDescent="0.2">
      <c r="A38" s="31">
        <v>44834.25</v>
      </c>
      <c r="B38" s="27">
        <v>30.3</v>
      </c>
      <c r="C38" s="27">
        <v>-79.099999999999994</v>
      </c>
      <c r="D38" s="32">
        <v>984</v>
      </c>
      <c r="E38" s="32">
        <v>75</v>
      </c>
      <c r="F38" s="23" t="s">
        <v>84</v>
      </c>
    </row>
    <row r="39" spans="1:6" ht="75" customHeight="1" x14ac:dyDescent="0.2">
      <c r="A39" s="31">
        <v>44834.5</v>
      </c>
      <c r="B39" s="27">
        <v>31.5</v>
      </c>
      <c r="C39" s="27">
        <v>-79</v>
      </c>
      <c r="D39" s="32">
        <v>980</v>
      </c>
      <c r="E39" s="32">
        <v>75</v>
      </c>
      <c r="F39" s="23" t="s">
        <v>84</v>
      </c>
    </row>
    <row r="40" spans="1:6" ht="75" customHeight="1" x14ac:dyDescent="0.2">
      <c r="A40" s="31">
        <v>44834.75</v>
      </c>
      <c r="B40" s="27">
        <v>33.299999999999997</v>
      </c>
      <c r="C40" s="27">
        <v>-79.2</v>
      </c>
      <c r="D40" s="32">
        <v>978</v>
      </c>
      <c r="E40" s="32">
        <v>70</v>
      </c>
      <c r="F40" s="23" t="s">
        <v>84</v>
      </c>
    </row>
    <row r="41" spans="1:6" ht="75" customHeight="1" x14ac:dyDescent="0.2">
      <c r="A41" s="31">
        <v>44834.753472222219</v>
      </c>
      <c r="B41" s="27">
        <v>33.299999999999997</v>
      </c>
      <c r="C41" s="27">
        <v>-79.2</v>
      </c>
      <c r="D41" s="32">
        <v>978</v>
      </c>
      <c r="E41" s="32">
        <v>70</v>
      </c>
      <c r="F41" s="23" t="s">
        <v>84</v>
      </c>
    </row>
    <row r="42" spans="1:6" ht="75" customHeight="1" x14ac:dyDescent="0.2">
      <c r="A42" s="31">
        <v>44835</v>
      </c>
      <c r="B42" s="27">
        <v>34.4</v>
      </c>
      <c r="C42" s="27">
        <v>-79.3</v>
      </c>
      <c r="D42" s="32">
        <v>990</v>
      </c>
      <c r="E42" s="32">
        <v>50</v>
      </c>
      <c r="F42" s="23" t="s">
        <v>85</v>
      </c>
    </row>
    <row r="43" spans="1:6" ht="75" customHeight="1" x14ac:dyDescent="0.2">
      <c r="A43" s="31">
        <v>44835.25</v>
      </c>
      <c r="B43" s="27">
        <v>35.299999999999997</v>
      </c>
      <c r="C43" s="27">
        <v>-79.7</v>
      </c>
      <c r="D43" s="32">
        <v>999</v>
      </c>
      <c r="E43" s="32">
        <v>30</v>
      </c>
      <c r="F43" s="23" t="s">
        <v>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39DDE-5A33-214A-8C61-5B8388F33CF4}">
  <dimension ref="A1:F22"/>
  <sheetViews>
    <sheetView workbookViewId="0">
      <pane ySplit="5" topLeftCell="A6" activePane="bottomLeft" state="frozen"/>
      <selection pane="bottomLeft"/>
    </sheetView>
  </sheetViews>
  <sheetFormatPr baseColWidth="10" defaultRowHeight="15" x14ac:dyDescent="0.2"/>
  <cols>
    <col min="1" max="1" width="25" customWidth="1"/>
    <col min="2" max="2" width="21.6640625" customWidth="1"/>
    <col min="3" max="3" width="25" customWidth="1"/>
    <col min="4" max="4" width="23.33203125" customWidth="1"/>
    <col min="5" max="5" width="21.6640625" customWidth="1"/>
    <col min="6" max="6" width="20" customWidth="1"/>
  </cols>
  <sheetData>
    <row r="1" spans="1:6" ht="32.25" customHeight="1" x14ac:dyDescent="0.2">
      <c r="A1" s="19" t="s">
        <v>308</v>
      </c>
      <c r="B1" s="19"/>
      <c r="C1" s="19"/>
      <c r="D1" s="19"/>
      <c r="E1" s="19"/>
      <c r="F1" s="19"/>
    </row>
    <row r="2" spans="1:6" ht="21.75" customHeight="1" x14ac:dyDescent="0.2">
      <c r="A2" s="20" t="s">
        <v>309</v>
      </c>
      <c r="B2" s="20"/>
      <c r="C2" s="20"/>
      <c r="D2" s="20"/>
      <c r="E2" s="20"/>
      <c r="F2" s="20"/>
    </row>
    <row r="3" spans="1:6" ht="21.75" customHeight="1" x14ac:dyDescent="0.2">
      <c r="A3" s="21" t="s">
        <v>310</v>
      </c>
      <c r="B3" s="21"/>
      <c r="C3" s="21"/>
      <c r="D3" s="21"/>
      <c r="E3" s="21"/>
      <c r="F3" s="21"/>
    </row>
    <row r="4" spans="1:6" ht="9" customHeight="1" x14ac:dyDescent="0.2">
      <c r="A4" s="18"/>
      <c r="B4" s="18"/>
      <c r="C4" s="18"/>
      <c r="D4" s="18"/>
      <c r="E4" s="18"/>
      <c r="F4" s="18"/>
    </row>
    <row r="5" spans="1:6" ht="30" customHeight="1" x14ac:dyDescent="0.2">
      <c r="A5" s="22" t="s">
        <v>311</v>
      </c>
      <c r="B5" s="22" t="s">
        <v>312</v>
      </c>
      <c r="C5" s="22" t="s">
        <v>313</v>
      </c>
      <c r="D5" s="22" t="s">
        <v>314</v>
      </c>
      <c r="E5" s="22" t="s">
        <v>315</v>
      </c>
      <c r="F5" s="22" t="s">
        <v>316</v>
      </c>
    </row>
    <row r="6" spans="1:6" ht="75" customHeight="1" x14ac:dyDescent="0.2">
      <c r="A6" s="23" t="s">
        <v>317</v>
      </c>
      <c r="B6" s="33">
        <v>997.2</v>
      </c>
      <c r="C6" s="33">
        <v>389.5</v>
      </c>
      <c r="D6" s="33">
        <v>763.6</v>
      </c>
      <c r="E6" s="33">
        <v>135.69999999999999</v>
      </c>
      <c r="F6" s="33">
        <v>2286</v>
      </c>
    </row>
    <row r="7" spans="1:6" ht="75" customHeight="1" x14ac:dyDescent="0.2">
      <c r="A7" s="23" t="s">
        <v>318</v>
      </c>
      <c r="B7" s="33">
        <v>704.2</v>
      </c>
      <c r="C7" s="33">
        <v>506.1</v>
      </c>
      <c r="D7" s="33">
        <v>587</v>
      </c>
      <c r="E7" s="33">
        <v>24.8</v>
      </c>
      <c r="F7" s="33">
        <v>1822.1</v>
      </c>
    </row>
    <row r="8" spans="1:6" ht="75" customHeight="1" x14ac:dyDescent="0.2">
      <c r="A8" s="23" t="s">
        <v>319</v>
      </c>
      <c r="B8" s="33">
        <v>690.9</v>
      </c>
      <c r="C8" s="33">
        <v>220</v>
      </c>
      <c r="D8" s="33">
        <v>434</v>
      </c>
      <c r="E8" s="33">
        <v>64.2</v>
      </c>
      <c r="F8" s="33">
        <v>1409.1</v>
      </c>
    </row>
    <row r="9" spans="1:6" ht="75" customHeight="1" x14ac:dyDescent="0.2">
      <c r="A9" s="23" t="s">
        <v>320</v>
      </c>
      <c r="B9" s="33">
        <v>266.8</v>
      </c>
      <c r="C9" s="33">
        <v>154.4</v>
      </c>
      <c r="D9" s="33">
        <v>296.5</v>
      </c>
      <c r="E9" s="33">
        <v>29</v>
      </c>
      <c r="F9" s="33">
        <v>746.8</v>
      </c>
    </row>
    <row r="10" spans="1:6" ht="75" customHeight="1" x14ac:dyDescent="0.2">
      <c r="A10" s="23" t="s">
        <v>321</v>
      </c>
      <c r="B10" s="33">
        <v>305.39999999999998</v>
      </c>
      <c r="C10" s="33">
        <v>102.4</v>
      </c>
      <c r="D10" s="33">
        <v>252.9</v>
      </c>
      <c r="E10" s="33">
        <v>28.4</v>
      </c>
      <c r="F10" s="33">
        <v>689.1</v>
      </c>
    </row>
    <row r="11" spans="1:6" ht="75" customHeight="1" x14ac:dyDescent="0.2">
      <c r="A11" s="23" t="s">
        <v>322</v>
      </c>
      <c r="B11" s="33">
        <v>221.9</v>
      </c>
      <c r="C11" s="33">
        <v>155</v>
      </c>
      <c r="D11" s="33">
        <v>154.80000000000001</v>
      </c>
      <c r="E11" s="33">
        <v>20.399999999999999</v>
      </c>
      <c r="F11" s="33">
        <v>552.1</v>
      </c>
    </row>
    <row r="12" spans="1:6" ht="75" customHeight="1" x14ac:dyDescent="0.2">
      <c r="A12" s="23" t="s">
        <v>323</v>
      </c>
      <c r="B12" s="33">
        <v>158.1</v>
      </c>
      <c r="C12" s="33">
        <v>66.7</v>
      </c>
      <c r="D12" s="33">
        <v>141.80000000000001</v>
      </c>
      <c r="E12" s="33">
        <v>20.100000000000001</v>
      </c>
      <c r="F12" s="33">
        <v>386.7</v>
      </c>
    </row>
    <row r="13" spans="1:6" ht="75" customHeight="1" x14ac:dyDescent="0.2">
      <c r="A13" s="23" t="s">
        <v>324</v>
      </c>
      <c r="B13" s="33">
        <v>133.1</v>
      </c>
      <c r="C13" s="33">
        <v>54.2</v>
      </c>
      <c r="D13" s="33">
        <v>112</v>
      </c>
      <c r="E13" s="33">
        <v>19.3</v>
      </c>
      <c r="F13" s="33">
        <v>318.60000000000002</v>
      </c>
    </row>
    <row r="14" spans="1:6" ht="75" customHeight="1" x14ac:dyDescent="0.2">
      <c r="A14" s="23" t="s">
        <v>325</v>
      </c>
      <c r="B14" s="33">
        <v>93.2</v>
      </c>
      <c r="C14" s="33">
        <v>47.8</v>
      </c>
      <c r="D14" s="33">
        <v>91.4</v>
      </c>
      <c r="E14" s="33">
        <v>22.3</v>
      </c>
      <c r="F14" s="33">
        <v>254.8</v>
      </c>
    </row>
    <row r="15" spans="1:6" ht="75" customHeight="1" x14ac:dyDescent="0.2">
      <c r="A15" s="23" t="s">
        <v>326</v>
      </c>
      <c r="B15" s="33">
        <v>52.5</v>
      </c>
      <c r="C15" s="33">
        <v>53.8</v>
      </c>
      <c r="D15" s="33">
        <v>30.6</v>
      </c>
      <c r="E15" s="33">
        <v>2.7</v>
      </c>
      <c r="F15" s="33">
        <v>139.5</v>
      </c>
    </row>
    <row r="16" spans="1:6" ht="75" customHeight="1" x14ac:dyDescent="0.2">
      <c r="A16" s="23" t="s">
        <v>327</v>
      </c>
      <c r="B16" s="33">
        <v>30.6</v>
      </c>
      <c r="C16" s="33">
        <v>11</v>
      </c>
      <c r="D16" s="33">
        <v>26.9</v>
      </c>
      <c r="E16" s="33">
        <v>15.5</v>
      </c>
      <c r="F16" s="33">
        <v>84.1</v>
      </c>
    </row>
    <row r="17" spans="1:6" ht="75" customHeight="1" x14ac:dyDescent="0.2">
      <c r="A17" s="23" t="s">
        <v>328</v>
      </c>
      <c r="B17" s="33">
        <v>13.1</v>
      </c>
      <c r="C17" s="33">
        <v>4.5999999999999996</v>
      </c>
      <c r="D17" s="33">
        <v>11.7</v>
      </c>
      <c r="E17" s="33">
        <v>2.2000000000000002</v>
      </c>
      <c r="F17" s="33">
        <v>31.7</v>
      </c>
    </row>
    <row r="18" spans="1:6" ht="75" customHeight="1" x14ac:dyDescent="0.2">
      <c r="A18" s="23" t="s">
        <v>329</v>
      </c>
      <c r="B18" s="33">
        <v>6.8</v>
      </c>
      <c r="C18" s="33">
        <v>2.1</v>
      </c>
      <c r="D18" s="33">
        <v>6.3</v>
      </c>
      <c r="E18" s="33">
        <v>4.3</v>
      </c>
      <c r="F18" s="33">
        <v>19.5</v>
      </c>
    </row>
    <row r="19" spans="1:6" ht="75" customHeight="1" x14ac:dyDescent="0.2">
      <c r="A19" s="23" t="s">
        <v>330</v>
      </c>
      <c r="B19" s="33">
        <v>2.6</v>
      </c>
      <c r="C19" s="33">
        <v>4.4000000000000004</v>
      </c>
      <c r="D19" s="33">
        <v>7</v>
      </c>
      <c r="E19" s="33">
        <v>0</v>
      </c>
      <c r="F19" s="33">
        <v>14</v>
      </c>
    </row>
    <row r="20" spans="1:6" ht="75" customHeight="1" x14ac:dyDescent="0.2">
      <c r="A20" s="34" t="s">
        <v>331</v>
      </c>
      <c r="B20" s="35">
        <f>SUM(B6:B19)</f>
        <v>3676.4</v>
      </c>
      <c r="C20" s="35">
        <f>SUM(C6:C19)</f>
        <v>1772</v>
      </c>
      <c r="D20" s="35">
        <f>SUM(D6:D19)</f>
        <v>2916.5000000000005</v>
      </c>
      <c r="E20" s="35">
        <f>SUM(E6:E19)</f>
        <v>388.9</v>
      </c>
      <c r="F20" s="35">
        <f>SUM(F6:F19)</f>
        <v>8754.1000000000022</v>
      </c>
    </row>
    <row r="21" spans="1:6" ht="75" customHeight="1" x14ac:dyDescent="0.2">
      <c r="A21" s="23" t="s">
        <v>332</v>
      </c>
      <c r="B21" s="33">
        <v>3676.4</v>
      </c>
      <c r="C21" s="33">
        <v>1772.2</v>
      </c>
      <c r="D21" s="33">
        <v>2916.4</v>
      </c>
      <c r="E21" s="33">
        <v>389.1</v>
      </c>
      <c r="F21" s="33">
        <v>8754.2000000000007</v>
      </c>
    </row>
    <row r="22" spans="1:6" ht="75" customHeight="1" x14ac:dyDescent="0.2">
      <c r="A22" s="36" t="s">
        <v>334</v>
      </c>
      <c r="B22" s="33"/>
      <c r="C22" s="33"/>
      <c r="D22" s="33"/>
      <c r="E22" s="33"/>
      <c r="F22"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hurricane_entity</vt:lpstr>
      <vt:lpstr>meteorological_data</vt:lpstr>
      <vt:lpstr>destruction_entity</vt:lpstr>
      <vt:lpstr>location_entity</vt:lpstr>
      <vt:lpstr>best_track_ref</vt:lpstr>
      <vt:lpstr>best_track_ref_Ian</vt:lpstr>
      <vt:lpstr>jamaica_parish_damage_ref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Gagan Nukala</cp:lastModifiedBy>
  <cp:revision/>
  <dcterms:created xsi:type="dcterms:W3CDTF">2026-10-02T10:46:22Z</dcterms:created>
  <dcterms:modified xsi:type="dcterms:W3CDTF">2026-10-02T18:41:58Z</dcterms:modified>
  <cp:category/>
  <cp:contentStatus/>
</cp:coreProperties>
</file>